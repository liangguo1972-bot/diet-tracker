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说明" sheetId="1" state="visible" r:id="rId3"/>
    <sheet name="①食材库" sheetId="2" state="visible" r:id="rId4"/>
    <sheet name="②配方明细" sheetId="3" state="visible" r:id="rId5"/>
    <sheet name="③配方汇总" sheetId="4" state="visible" r:id="rId6"/>
    <sheet name="④餐目标" sheetId="5" state="visible" r:id="rId7"/>
    <sheet name="⑤采购清单" sheetId="6" state="visible" r:id="rId8"/>
    <sheet name="⑥库存表" sheetId="7" state="visible" r:id="rId9"/>
    <sheet name="⑦每餐记录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<sst xmlns="http://schemas.openxmlformats.org/spreadsheetml/2006/main" count="1562" uniqueCount="625">
  <si>
    <t xml:space="preserve">饮食追踪系统 · v0.2（配方联动版）</t>
  </si>
  <si>
    <t xml:space="preserve">配方营养已和食材库联动：在配方明细填食材克数 → 自动加总。改食材库的数，所有相关配方跟着变。</t>
  </si>
  <si>
    <t xml:space="preserve">颜色规则（先看这个）</t>
  </si>
  <si>
    <t xml:space="preserve">黄色格</t>
  </si>
  <si>
    <t xml:space="preserve">你要填或替换的。食材库营养现在是参考值占位，拍到成分表后逐个换成你的实测值。</t>
  </si>
  <si>
    <t xml:space="preserve">浅蓝格</t>
  </si>
  <si>
    <t xml:space="preserve">公式自动算的，别手改（改了就断了联动）。</t>
  </si>
  <si>
    <t xml:space="preserve">白色格</t>
  </si>
  <si>
    <t xml:space="preserve">普通可编辑：配方的食材克数、份数、备注，按你实际做法改。</t>
  </si>
  <si>
    <t xml:space="preserve">三层怎么联动（这是这版的核心）</t>
  </si>
  <si>
    <t xml:space="preserve">①食材库</t>
  </si>
  <si>
    <t xml:space="preserve">数据源。每样食材的营养统一按「每100g」。计件的（鸡蛋、面包片等）已换算成每100g，备注里写了每个约多少克。</t>
  </si>
  <si>
    <t xml:space="preserve">②配方明细</t>
  </si>
  <si>
    <t xml:space="preserve">你填「这道菜用了哪些食材、各多少克」。旁边自动从食材库查出营养、算出每项贡献。一道菜占连续几行。</t>
  </si>
  <si>
    <t xml:space="preserve">③配方汇总</t>
  </si>
  <si>
    <t xml:space="preserve">每道菜一行，自动把明细里属于它的食材加总=整锅营养，再除份数=每份。这就是生重相加。</t>
  </si>
  <si>
    <t xml:space="preserve">怎么用</t>
  </si>
  <si>
    <t xml:space="preserve">做饭=照③选一道做；吃=这顿吃了整锅几分之一，乘一下；之后接每日记录对账（下一层）。</t>
  </si>
  <si>
    <t xml:space="preserve">为什么是生重相加（你问过）</t>
  </si>
  <si>
    <t xml:space="preserve">原理</t>
  </si>
  <si>
    <t xml:space="preserve">炖煮只是脱水，重量变但总热量不变。只要下锅前的东西都按生重记了，加起来就是整锅热量。</t>
  </si>
  <si>
    <t xml:space="preserve">唯一的洞</t>
  </si>
  <si>
    <t xml:space="preserve">额外加进锅的油/糖/酱要记进去，否则漏算。你几乎不炒、只喷底油，这个洞很小，喷油那几kcal可忽略。</t>
  </si>
  <si>
    <t xml:space="preserve">数据准确度</t>
  </si>
  <si>
    <t xml:space="preserve">营养值</t>
  </si>
  <si>
    <t xml:space="preserve">现在是通用数据库参考值，占位用。品牌差异大的（豆腐/牛腩/酸奶/面包/坚果/咖喱）尤其要换成你的实测。</t>
  </si>
  <si>
    <t xml:space="preserve">成分表换算</t>
  </si>
  <si>
    <t xml:space="preserve">美国成分表按每份(serving)标，包装上有每份克重。换算成每100g：每份值 ÷ 每份克重 × 100，填进食材库。</t>
  </si>
  <si>
    <t xml:space="preserve">称量</t>
  </si>
  <si>
    <t xml:space="preserve">秤只用在热量密集项（主食、油、肉、坚果、牛油果、酱）。蔬菜目测。</t>
  </si>
  <si>
    <t xml:space="preserve">下一步</t>
  </si>
  <si>
    <t xml:space="preserve">待你做</t>
  </si>
  <si>
    <r>
      <rPr>
        <sz val="10"/>
        <rFont val="Arial"/>
        <family val="2"/>
        <charset val="1"/>
      </rPr>
      <t xml:space="preserve">1) </t>
    </r>
    <r>
      <rPr>
        <sz val="10"/>
        <rFont val="Noto Sans CJK SC"/>
        <family val="2"/>
      </rPr>
      <t xml:space="preserve">删改增配方明细的食材和克数；</t>
    </r>
    <r>
      <rPr>
        <sz val="10"/>
        <rFont val="Arial"/>
        <family val="2"/>
        <charset val="1"/>
      </rPr>
      <t xml:space="preserve">2) </t>
    </r>
    <r>
      <rPr>
        <sz val="10"/>
        <rFont val="Noto Sans CJK SC"/>
        <family val="2"/>
      </rPr>
      <t xml:space="preserve">配方汇总填「典型份数」（你那锅实际吃几顿）；</t>
    </r>
    <r>
      <rPr>
        <sz val="10"/>
        <rFont val="Arial"/>
        <family val="2"/>
        <charset val="1"/>
      </rPr>
      <t xml:space="preserve">3) </t>
    </r>
    <r>
      <rPr>
        <sz val="10"/>
        <rFont val="Noto Sans CJK SC"/>
        <family val="2"/>
      </rPr>
      <t xml:space="preserve">慢慢替换食材库营养。</t>
    </r>
  </si>
  <si>
    <t xml:space="preserve">待搭</t>
  </si>
  <si>
    <t xml:space="preserve">每日记录层（消化「目标vs实际」的对账）+ 采购清点层。两者都从同一套食材/配方引用接出去。</t>
  </si>
  <si>
    <t xml:space="preserve">① 食材库  —  营养统一按每100g，黄色=参考值占位待替换</t>
  </si>
  <si>
    <t xml:space="preserve">类别</t>
  </si>
  <si>
    <t xml:space="preserve">食材</t>
  </si>
  <si>
    <t xml:space="preserve">热量/100g</t>
  </si>
  <si>
    <t xml:space="preserve">蛋白/100g</t>
  </si>
  <si>
    <t xml:space="preserve">碳水/100g</t>
  </si>
  <si>
    <t xml:space="preserve">脂肪/100g</t>
  </si>
  <si>
    <t xml:space="preserve">包装规格(美超)</t>
  </si>
  <si>
    <t xml:space="preserve">存储</t>
  </si>
  <si>
    <t xml:space="preserve">久放可清点</t>
  </si>
  <si>
    <t xml:space="preserve">备注(含计件克重)</t>
  </si>
  <si>
    <t xml:space="preserve">蛋白质</t>
  </si>
  <si>
    <t xml:space="preserve">鸡胸肉(生)</t>
  </si>
  <si>
    <t xml:space="preserve">family pack 2-3 lb</t>
  </si>
  <si>
    <t xml:space="preserve">冷冻可</t>
  </si>
  <si>
    <t xml:space="preserve">是</t>
  </si>
  <si>
    <t xml:space="preserve">鸡腿肉去皮(生)</t>
  </si>
  <si>
    <t xml:space="preserve">按 lb</t>
  </si>
  <si>
    <t xml:space="preserve">带皮鸡腿(生)</t>
  </si>
  <si>
    <t xml:space="preserve">贴纸标少吃</t>
  </si>
  <si>
    <t xml:space="preserve">瘦牛肉末93/7(生)</t>
  </si>
  <si>
    <r>
      <rPr>
        <sz val="10"/>
        <rFont val="Arial"/>
        <family val="2"/>
        <charset val="1"/>
      </rPr>
      <t xml:space="preserve">1 lb </t>
    </r>
    <r>
      <rPr>
        <sz val="10"/>
        <rFont val="Noto Sans CJK SC"/>
        <family val="2"/>
      </rPr>
      <t xml:space="preserve">装</t>
    </r>
  </si>
  <si>
    <t xml:space="preserve">肥瘦比看包装</t>
  </si>
  <si>
    <t xml:space="preserve">牛腩(带肥,生)</t>
  </si>
  <si>
    <t xml:space="preserve">部位差异大;炖菜按生重记,油脂自动含</t>
  </si>
  <si>
    <t xml:space="preserve">牛腱(生)</t>
  </si>
  <si>
    <t xml:space="preserve">卤味用</t>
  </si>
  <si>
    <t xml:space="preserve">三文鱼(生)</t>
  </si>
  <si>
    <r>
      <rPr>
        <sz val="10"/>
        <rFont val="Arial"/>
        <family val="2"/>
        <charset val="1"/>
      </rPr>
      <t xml:space="preserve">fillet/</t>
    </r>
    <r>
      <rPr>
        <sz val="10"/>
        <rFont val="Noto Sans CJK SC"/>
        <family val="2"/>
      </rPr>
      <t xml:space="preserve">按 </t>
    </r>
    <r>
      <rPr>
        <sz val="10"/>
        <rFont val="Arial"/>
        <family val="2"/>
        <charset val="1"/>
      </rPr>
      <t xml:space="preserve">lb</t>
    </r>
  </si>
  <si>
    <t xml:space="preserve">虾(生,去壳)</t>
  </si>
  <si>
    <t xml:space="preserve">冷冻 1-2 lb 袋</t>
  </si>
  <si>
    <t xml:space="preserve">白肉鱼(鲈/鳕,生)</t>
  </si>
  <si>
    <t xml:space="preserve">fillet</t>
  </si>
  <si>
    <t xml:space="preserve">金枪鱼罐头(水浸)</t>
  </si>
  <si>
    <r>
      <rPr>
        <sz val="10"/>
        <rFont val="Arial"/>
        <family val="2"/>
        <charset val="1"/>
      </rPr>
      <t xml:space="preserve">5 oz </t>
    </r>
    <r>
      <rPr>
        <sz val="10"/>
        <rFont val="Noto Sans CJK SC"/>
        <family val="2"/>
      </rPr>
      <t xml:space="preserve">罐</t>
    </r>
  </si>
  <si>
    <t xml:space="preserve">常温久放</t>
  </si>
  <si>
    <t xml:space="preserve">Wild Planet实测142g=180kcal/33P</t>
  </si>
  <si>
    <t xml:space="preserve">鸡蛋</t>
  </si>
  <si>
    <r>
      <rPr>
        <sz val="10"/>
        <rFont val="Arial"/>
        <family val="2"/>
        <charset val="1"/>
      </rPr>
      <t xml:space="preserve">1</t>
    </r>
    <r>
      <rPr>
        <sz val="10"/>
        <rFont val="Noto Sans CJK SC"/>
        <family val="2"/>
      </rPr>
      <t xml:space="preserve">打</t>
    </r>
    <r>
      <rPr>
        <sz val="10"/>
        <rFont val="Arial"/>
        <family val="2"/>
        <charset val="1"/>
      </rPr>
      <t xml:space="preserve">(12</t>
    </r>
    <r>
      <rPr>
        <sz val="10"/>
        <rFont val="Noto Sans CJK SC"/>
        <family val="2"/>
      </rPr>
      <t xml:space="preserve">个</t>
    </r>
    <r>
      <rPr>
        <sz val="10"/>
        <rFont val="Arial"/>
        <family val="2"/>
        <charset val="1"/>
      </rPr>
      <t xml:space="preserve">)</t>
    </r>
  </si>
  <si>
    <t xml:space="preserve">冷藏数周</t>
  </si>
  <si>
    <t xml:space="preserve">每个约50g(72kcal)</t>
  </si>
  <si>
    <t xml:space="preserve">老豆腐 firm tofu</t>
  </si>
  <si>
    <r>
      <rPr>
        <sz val="10"/>
        <rFont val="Arial"/>
        <family val="2"/>
        <charset val="1"/>
      </rPr>
      <t xml:space="preserve">14-16 oz </t>
    </r>
    <r>
      <rPr>
        <sz val="10"/>
        <rFont val="Noto Sans CJK SC"/>
        <family val="2"/>
      </rPr>
      <t xml:space="preserve">盒</t>
    </r>
  </si>
  <si>
    <t xml:space="preserve">开封后2-3天</t>
  </si>
  <si>
    <t xml:space="preserve">否</t>
  </si>
  <si>
    <t xml:space="preserve">美国品牌差异大</t>
  </si>
  <si>
    <t xml:space="preserve">嫩豆腐 silken</t>
  </si>
  <si>
    <t xml:space="preserve">希腊酸奶(脱脂原味)</t>
  </si>
  <si>
    <r>
      <rPr>
        <sz val="10"/>
        <rFont val="Arial"/>
        <family val="2"/>
        <charset val="1"/>
      </rPr>
      <t xml:space="preserve">32 oz </t>
    </r>
    <r>
      <rPr>
        <sz val="10"/>
        <rFont val="Noto Sans CJK SC"/>
        <family val="2"/>
      </rPr>
      <t xml:space="preserve">桶</t>
    </r>
    <r>
      <rPr>
        <sz val="10"/>
        <rFont val="Arial"/>
        <family val="2"/>
        <charset val="1"/>
      </rPr>
      <t xml:space="preserve">/5.3 oz </t>
    </r>
    <r>
      <rPr>
        <sz val="10"/>
        <rFont val="Noto Sans CJK SC"/>
        <family val="2"/>
      </rPr>
      <t xml:space="preserve">杯</t>
    </r>
  </si>
  <si>
    <t xml:space="preserve">冷藏</t>
  </si>
  <si>
    <t xml:space="preserve">全脂/调味差异大</t>
  </si>
  <si>
    <t xml:space="preserve">豆浆(无糖)</t>
  </si>
  <si>
    <r>
      <rPr>
        <sz val="10"/>
        <rFont val="Arial"/>
        <family val="2"/>
        <charset val="1"/>
      </rPr>
      <t xml:space="preserve">half gallon </t>
    </r>
    <r>
      <rPr>
        <sz val="10"/>
        <rFont val="Noto Sans CJK SC"/>
        <family val="2"/>
      </rPr>
      <t xml:space="preserve">盒</t>
    </r>
  </si>
  <si>
    <t xml:space="preserve">冷藏久放</t>
  </si>
  <si>
    <t xml:space="preserve">牛奶(2%)</t>
  </si>
  <si>
    <t xml:space="preserve">half gallon</t>
  </si>
  <si>
    <t xml:space="preserve">冷藏~1周</t>
  </si>
  <si>
    <t xml:space="preserve">量大易剩,考虑买小盒</t>
  </si>
  <si>
    <t xml:space="preserve">碳水</t>
  </si>
  <si>
    <t xml:space="preserve">米饭(熟)</t>
  </si>
  <si>
    <t xml:space="preserve">生米按 lb</t>
  </si>
  <si>
    <t xml:space="preserve">熟饭冷藏</t>
  </si>
  <si>
    <r>
      <rPr>
        <sz val="10"/>
        <rFont val="Arial"/>
        <family val="2"/>
        <charset val="1"/>
      </rPr>
      <t xml:space="preserve">1</t>
    </r>
    <r>
      <rPr>
        <sz val="10"/>
        <rFont val="Noto Sans CJK SC"/>
        <family val="2"/>
      </rPr>
      <t xml:space="preserve">拳≈</t>
    </r>
    <r>
      <rPr>
        <sz val="10"/>
        <rFont val="Arial"/>
        <family val="2"/>
        <charset val="1"/>
      </rPr>
      <t xml:space="preserve">150g≈195kcal</t>
    </r>
  </si>
  <si>
    <t xml:space="preserve">糙米(熟)</t>
  </si>
  <si>
    <t xml:space="preserve">袋装</t>
  </si>
  <si>
    <t xml:space="preserve">生米常温久</t>
  </si>
  <si>
    <t xml:space="preserve">黑米(熟)</t>
  </si>
  <si>
    <t xml:space="preserve">红薯(熟)</t>
  </si>
  <si>
    <t xml:space="preserve">按个/袋</t>
  </si>
  <si>
    <t xml:space="preserve">常温~1-2周</t>
  </si>
  <si>
    <t xml:space="preserve">半</t>
  </si>
  <si>
    <t xml:space="preserve">紫薯(熟)</t>
  </si>
  <si>
    <t xml:space="preserve">南瓜 kabocha(熟)</t>
  </si>
  <si>
    <t xml:space="preserve">整个/半个</t>
  </si>
  <si>
    <t xml:space="preserve">整个常温久</t>
  </si>
  <si>
    <t xml:space="preserve">品种差异大</t>
  </si>
  <si>
    <t xml:space="preserve">燕麦(干)</t>
  </si>
  <si>
    <t xml:space="preserve">大桶</t>
  </si>
  <si>
    <t xml:space="preserve">半拳干≈40g≈150kcal</t>
  </si>
  <si>
    <t xml:space="preserve">全麦面包</t>
  </si>
  <si>
    <r>
      <rPr>
        <sz val="10"/>
        <rFont val="Arial"/>
        <family val="2"/>
        <charset val="1"/>
      </rPr>
      <t xml:space="preserve">1</t>
    </r>
    <r>
      <rPr>
        <sz val="10"/>
        <rFont val="Noto Sans CJK SC"/>
        <family val="2"/>
      </rPr>
      <t xml:space="preserve">条</t>
    </r>
    <r>
      <rPr>
        <sz val="10"/>
        <rFont val="Arial"/>
        <family val="2"/>
        <charset val="1"/>
      </rPr>
      <t xml:space="preserve">(</t>
    </r>
    <r>
      <rPr>
        <sz val="10"/>
        <rFont val="Noto Sans CJK SC"/>
        <family val="2"/>
      </rPr>
      <t xml:space="preserve">约</t>
    </r>
    <r>
      <rPr>
        <sz val="10"/>
        <rFont val="Arial"/>
        <family val="2"/>
        <charset val="1"/>
      </rPr>
      <t xml:space="preserve">20</t>
    </r>
    <r>
      <rPr>
        <sz val="10"/>
        <rFont val="Noto Sans CJK SC"/>
        <family val="2"/>
      </rPr>
      <t xml:space="preserve">片</t>
    </r>
    <r>
      <rPr>
        <sz val="10"/>
        <rFont val="Arial"/>
        <family val="2"/>
        <charset val="1"/>
      </rPr>
      <t xml:space="preserve">)</t>
    </r>
  </si>
  <si>
    <t xml:space="preserve">每片约28g(75kcal)</t>
  </si>
  <si>
    <t xml:space="preserve">口袋面包 pita</t>
  </si>
  <si>
    <t xml:space="preserve">冷藏/冷冻</t>
  </si>
  <si>
    <t xml:space="preserve">每个约60g</t>
  </si>
  <si>
    <t xml:space="preserve">乌冬(熟)</t>
  </si>
  <si>
    <t xml:space="preserve">真空包</t>
  </si>
  <si>
    <t xml:space="preserve">意面(干)</t>
  </si>
  <si>
    <r>
      <rPr>
        <sz val="10"/>
        <rFont val="Arial"/>
        <family val="2"/>
        <charset val="1"/>
      </rPr>
      <t xml:space="preserve">1 lb </t>
    </r>
    <r>
      <rPr>
        <sz val="10"/>
        <rFont val="Noto Sans CJK SC"/>
        <family val="2"/>
      </rPr>
      <t xml:space="preserve">盒</t>
    </r>
  </si>
  <si>
    <t xml:space="preserve">填干重</t>
  </si>
  <si>
    <t xml:space="preserve">玉米(煮)</t>
  </si>
  <si>
    <t xml:space="preserve">按棒/袋</t>
  </si>
  <si>
    <t xml:space="preserve">脂肪</t>
  </si>
  <si>
    <t xml:space="preserve">牛油果</t>
  </si>
  <si>
    <t xml:space="preserve">单个/袋</t>
  </si>
  <si>
    <t xml:space="preserve">熟后2-3天</t>
  </si>
  <si>
    <t xml:space="preserve">半个≈100g</t>
  </si>
  <si>
    <t xml:space="preserve">混合坚果</t>
  </si>
  <si>
    <t xml:space="preserve">袋/罐</t>
  </si>
  <si>
    <t xml:space="preserve">贴纸&lt;15g/次</t>
  </si>
  <si>
    <t xml:space="preserve">橄榄油</t>
  </si>
  <si>
    <t xml:space="preserve">瓶装</t>
  </si>
  <si>
    <t xml:space="preserve">1 tbsp≈14g≈120kcal</t>
  </si>
  <si>
    <t xml:space="preserve">喷油(底油)</t>
  </si>
  <si>
    <t xml:space="preserve">喷瓶</t>
  </si>
  <si>
    <t xml:space="preserve">几喷≈可忽略,填2-5g</t>
  </si>
  <si>
    <t xml:space="preserve">黑巧克力85%</t>
  </si>
  <si>
    <t xml:space="preserve">块装</t>
  </si>
  <si>
    <t xml:space="preserve">加餐小份</t>
  </si>
  <si>
    <t xml:space="preserve">蔬菜（热量低，目测即可）</t>
  </si>
  <si>
    <t xml:space="preserve">蔬菜</t>
  </si>
  <si>
    <t xml:space="preserve">西兰花</t>
  </si>
  <si>
    <t xml:space="preserve">整颗/袋</t>
  </si>
  <si>
    <t xml:space="preserve">生菜</t>
  </si>
  <si>
    <t xml:space="preserve">菠菜</t>
  </si>
  <si>
    <t xml:space="preserve">冷藏~5天</t>
  </si>
  <si>
    <t xml:space="preserve">芝麻菜 arugula</t>
  </si>
  <si>
    <t xml:space="preserve">盒装</t>
  </si>
  <si>
    <t xml:space="preserve">胡萝卜</t>
  </si>
  <si>
    <t xml:space="preserve">黄瓜</t>
  </si>
  <si>
    <t xml:space="preserve">彩椒</t>
  </si>
  <si>
    <t xml:space="preserve">冷藏~1-2周</t>
  </si>
  <si>
    <t xml:space="preserve">番茄</t>
  </si>
  <si>
    <t xml:space="preserve">常温/冷藏</t>
  </si>
  <si>
    <t xml:space="preserve">卷心菜</t>
  </si>
  <si>
    <t xml:space="preserve">整颗</t>
  </si>
  <si>
    <t xml:space="preserve">冷藏久</t>
  </si>
  <si>
    <t xml:space="preserve">辣白菜 kimchi</t>
  </si>
  <si>
    <t xml:space="preserve">罐/袋</t>
  </si>
  <si>
    <t xml:space="preserve">含调味,非普通白菜</t>
  </si>
  <si>
    <t xml:space="preserve">白萝卜</t>
  </si>
  <si>
    <t xml:space="preserve">单根</t>
  </si>
  <si>
    <t xml:space="preserve">洋葱</t>
  </si>
  <si>
    <t xml:space="preserve">西葫芦</t>
  </si>
  <si>
    <t xml:space="preserve">单个</t>
  </si>
  <si>
    <t xml:space="preserve">金针菇/口蘑</t>
  </si>
  <si>
    <t xml:space="preserve">袋/盒</t>
  </si>
  <si>
    <t xml:space="preserve">绿豆芽</t>
  </si>
  <si>
    <t xml:space="preserve">冷藏~3天</t>
  </si>
  <si>
    <t xml:space="preserve">易坏</t>
  </si>
  <si>
    <t xml:space="preserve">海带(泡发)</t>
  </si>
  <si>
    <t xml:space="preserve">干货/盒</t>
  </si>
  <si>
    <t xml:space="preserve">干货常温久</t>
  </si>
  <si>
    <t xml:space="preserve">莲藕</t>
  </si>
  <si>
    <t xml:space="preserve">单节</t>
  </si>
  <si>
    <t xml:space="preserve">荷兰豆</t>
  </si>
  <si>
    <t xml:space="preserve">秋葵</t>
  </si>
  <si>
    <t xml:space="preserve">茄子</t>
  </si>
  <si>
    <t xml:space="preserve">芥蓝/茼蒿/莴笋</t>
  </si>
  <si>
    <t xml:space="preserve">把/袋</t>
  </si>
  <si>
    <t xml:space="preserve">绿叶类近似值</t>
  </si>
  <si>
    <t xml:space="preserve">水果</t>
  </si>
  <si>
    <t xml:space="preserve">香蕉</t>
  </si>
  <si>
    <t xml:space="preserve">按串</t>
  </si>
  <si>
    <t xml:space="preserve">常温几天</t>
  </si>
  <si>
    <t xml:space="preserve">每根约118g(105kcal)</t>
  </si>
  <si>
    <t xml:space="preserve">苹果</t>
  </si>
  <si>
    <t xml:space="preserve">每个约180g(95kcal)</t>
  </si>
  <si>
    <t xml:space="preserve">酱料/调味</t>
  </si>
  <si>
    <t xml:space="preserve">酱料</t>
  </si>
  <si>
    <t xml:space="preserve">黑醋 balsamic</t>
  </si>
  <si>
    <t xml:space="preserve">1 tbsp≈16g</t>
  </si>
  <si>
    <t xml:space="preserve">芥末 mustard</t>
  </si>
  <si>
    <t xml:space="preserve">用量小</t>
  </si>
  <si>
    <t xml:space="preserve">柚子醋 ponzu</t>
  </si>
  <si>
    <t xml:space="preserve">乌冬用</t>
  </si>
  <si>
    <t xml:space="preserve">咖喱块</t>
  </si>
  <si>
    <t xml:space="preserve">牌子差异大,务必核</t>
  </si>
  <si>
    <t xml:space="preserve">补充 2025-06</t>
  </si>
  <si>
    <r>
      <rPr>
        <sz val="10"/>
        <rFont val="Arial"/>
        <family val="0"/>
        <charset val="1"/>
      </rPr>
      <t xml:space="preserve">everything</t>
    </r>
    <r>
      <rPr>
        <sz val="10"/>
        <rFont val="Noto Sans CJK SC"/>
        <family val="2"/>
      </rPr>
      <t xml:space="preserve">贝果</t>
    </r>
  </si>
  <si>
    <t xml:space="preserve">每个约100g;参考值待核</t>
  </si>
  <si>
    <t xml:space="preserve">零食</t>
  </si>
  <si>
    <r>
      <rPr>
        <sz val="10"/>
        <rFont val="Arial"/>
        <family val="0"/>
        <charset val="1"/>
      </rPr>
      <t xml:space="preserve">St Michel</t>
    </r>
    <r>
      <rPr>
        <sz val="10"/>
        <rFont val="Noto Sans CJK SC"/>
        <family val="2"/>
      </rPr>
      <t xml:space="preserve">饼干</t>
    </r>
    <r>
      <rPr>
        <sz val="10"/>
        <rFont val="Arial"/>
        <family val="0"/>
        <charset val="1"/>
      </rPr>
      <t xml:space="preserve">galettes</t>
    </r>
  </si>
  <si>
    <t xml:space="preserve">盒18份</t>
  </si>
  <si>
    <t xml:space="preserve">实测:每份2片33g=170kcal</t>
  </si>
  <si>
    <t xml:space="preserve">减脂蛋黄酱light mayo</t>
  </si>
  <si>
    <t xml:space="preserve">参考值待核</t>
  </si>
  <si>
    <t xml:space="preserve">冷冻巧克力水果Tru Fru</t>
  </si>
  <si>
    <r>
      <rPr>
        <sz val="10"/>
        <rFont val="Arial"/>
        <family val="0"/>
        <charset val="1"/>
      </rPr>
      <t xml:space="preserve">8oz</t>
    </r>
    <r>
      <rPr>
        <sz val="10"/>
        <rFont val="Noto Sans CJK SC"/>
        <family val="2"/>
      </rPr>
      <t xml:space="preserve">袋</t>
    </r>
  </si>
  <si>
    <t xml:space="preserve">冷冻</t>
  </si>
  <si>
    <t xml:space="preserve">你估200kcal/份;营养结构待拍标签</t>
  </si>
  <si>
    <r>
      <rPr>
        <b val="true"/>
        <sz val="10"/>
        <rFont val="Noto Sans CJK SC"/>
        <family val="2"/>
      </rPr>
      <t xml:space="preserve">补充 </t>
    </r>
    <r>
      <rPr>
        <b val="true"/>
        <sz val="10"/>
        <rFont val="Arial"/>
        <family val="0"/>
        <charset val="1"/>
      </rPr>
      <t xml:space="preserve">6/28</t>
    </r>
  </si>
  <si>
    <r>
      <rPr>
        <sz val="10"/>
        <rFont val="Noto Sans CJK SC"/>
        <family val="2"/>
      </rPr>
      <t xml:space="preserve">韩式辣酱</t>
    </r>
    <r>
      <rPr>
        <sz val="10"/>
        <rFont val="Arial"/>
        <family val="0"/>
        <charset val="1"/>
      </rPr>
      <t xml:space="preserve">gochujang</t>
    </r>
  </si>
  <si>
    <t xml:space="preserve">罐</t>
  </si>
  <si>
    <t xml:space="preserve">辣椒面</t>
  </si>
  <si>
    <t xml:space="preserve">袋</t>
  </si>
  <si>
    <r>
      <rPr>
        <sz val="10"/>
        <rFont val="Noto Sans CJK SC"/>
        <family val="2"/>
      </rPr>
      <t xml:space="preserve">参考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量小</t>
    </r>
  </si>
  <si>
    <t xml:space="preserve">料酒</t>
  </si>
  <si>
    <t xml:space="preserve">瓶</t>
  </si>
  <si>
    <t xml:space="preserve">蜂蜜</t>
  </si>
  <si>
    <t xml:space="preserve">参考</t>
  </si>
  <si>
    <r>
      <rPr>
        <sz val="10"/>
        <rFont val="Noto Sans CJK SC"/>
        <family val="2"/>
      </rPr>
      <t xml:space="preserve">香油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芝麻油</t>
    </r>
    <r>
      <rPr>
        <sz val="10"/>
        <rFont val="Arial"/>
        <family val="0"/>
        <charset val="1"/>
      </rPr>
      <t xml:space="preserve">)</t>
    </r>
  </si>
  <si>
    <t xml:space="preserve">韩式年糕</t>
  </si>
  <si>
    <r>
      <rPr>
        <sz val="10"/>
        <rFont val="Noto Sans CJK SC"/>
        <family val="2"/>
      </rPr>
      <t xml:space="preserve">冷藏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冷冻</t>
    </r>
  </si>
  <si>
    <r>
      <rPr>
        <sz val="10"/>
        <rFont val="Noto Sans CJK SC"/>
        <family val="2"/>
      </rPr>
      <t xml:space="preserve">布拉塔</t>
    </r>
    <r>
      <rPr>
        <sz val="10"/>
        <rFont val="Arial"/>
        <family val="0"/>
        <charset val="1"/>
      </rPr>
      <t xml:space="preserve">burrata</t>
    </r>
  </si>
  <si>
    <t xml:space="preserve">盒</t>
  </si>
  <si>
    <r>
      <rPr>
        <sz val="10"/>
        <rFont val="Noto Sans CJK SC"/>
        <family val="2"/>
      </rPr>
      <t xml:space="preserve">高脂奶酪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参考待核</t>
    </r>
  </si>
  <si>
    <t xml:space="preserve">蓝莓</t>
  </si>
  <si>
    <r>
      <rPr>
        <sz val="10"/>
        <rFont val="Noto Sans CJK SC"/>
        <family val="2"/>
      </rPr>
      <t xml:space="preserve">盒</t>
    </r>
    <r>
      <rPr>
        <sz val="10"/>
        <rFont val="Arial"/>
        <family val="0"/>
        <charset val="1"/>
      </rPr>
      <t xml:space="preserve">6oz</t>
    </r>
  </si>
  <si>
    <t xml:space="preserve">桃子</t>
  </si>
  <si>
    <t xml:space="preserve">个</t>
  </si>
  <si>
    <r>
      <rPr>
        <sz val="10"/>
        <rFont val="Noto Sans CJK SC"/>
        <family val="2"/>
      </rPr>
      <t xml:space="preserve">沙拉菜</t>
    </r>
    <r>
      <rPr>
        <sz val="10"/>
        <rFont val="Arial"/>
        <family val="0"/>
        <charset val="1"/>
      </rPr>
      <t xml:space="preserve">mixed greens</t>
    </r>
  </si>
  <si>
    <r>
      <rPr>
        <sz val="10"/>
        <rFont val="Noto Sans CJK SC"/>
        <family val="2"/>
      </rPr>
      <t xml:space="preserve">盒</t>
    </r>
    <r>
      <rPr>
        <sz val="10"/>
        <rFont val="Arial"/>
        <family val="0"/>
        <charset val="1"/>
      </rPr>
      <t xml:space="preserve">5oz</t>
    </r>
  </si>
  <si>
    <r>
      <rPr>
        <sz val="10"/>
        <rFont val="Noto Sans CJK SC"/>
        <family val="2"/>
      </rPr>
      <t xml:space="preserve">冷藏</t>
    </r>
    <r>
      <rPr>
        <sz val="10"/>
        <rFont val="Arial"/>
        <family val="0"/>
        <charset val="1"/>
      </rPr>
      <t xml:space="preserve">~5</t>
    </r>
    <r>
      <rPr>
        <sz val="10"/>
        <rFont val="Noto Sans CJK SC"/>
        <family val="2"/>
      </rPr>
      <t xml:space="preserve">天</t>
    </r>
  </si>
  <si>
    <r>
      <rPr>
        <sz val="10"/>
        <rFont val="Noto Sans CJK SC"/>
        <family val="2"/>
      </rPr>
      <t xml:space="preserve">蛋糕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外食</t>
    </r>
    <r>
      <rPr>
        <sz val="10"/>
        <rFont val="Arial"/>
        <family val="0"/>
        <charset val="1"/>
      </rPr>
      <t xml:space="preserve">)</t>
    </r>
  </si>
  <si>
    <t xml:space="preserve">块</t>
  </si>
  <si>
    <t xml:space="preserve">—</t>
  </si>
  <si>
    <r>
      <rPr>
        <sz val="10"/>
        <rFont val="Noto Sans CJK SC"/>
        <family val="2"/>
      </rPr>
      <t xml:space="preserve">外食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你估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热量待定</t>
    </r>
  </si>
  <si>
    <t xml:space="preserve">② 配方明细  —  在「用量g」填克数，右侧自动联动食材库</t>
  </si>
  <si>
    <t xml:space="preserve">配方名</t>
  </si>
  <si>
    <t xml:space="preserve">角色</t>
  </si>
  <si>
    <t xml:space="preserve">用量g</t>
  </si>
  <si>
    <t xml:space="preserve">用量说明</t>
  </si>
  <si>
    <t xml:space="preserve">查:kcal/100</t>
  </si>
  <si>
    <t xml:space="preserve">查:P/100</t>
  </si>
  <si>
    <t xml:space="preserve">查:C/100</t>
  </si>
  <si>
    <t xml:space="preserve">查:F/100</t>
  </si>
  <si>
    <t xml:space="preserve">本项kcal</t>
  </si>
  <si>
    <t xml:space="preserve">本项P</t>
  </si>
  <si>
    <t xml:space="preserve">本项C</t>
  </si>
  <si>
    <t xml:space="preserve">本项F</t>
  </si>
  <si>
    <t xml:space="preserve">番茄炖牛腩</t>
  </si>
  <si>
    <t xml:space="preserve">蛋白主菜</t>
  </si>
  <si>
    <t xml:space="preserve">约0.9 lb</t>
  </si>
  <si>
    <t xml:space="preserve">约3个</t>
  </si>
  <si>
    <t xml:space="preserve">半个</t>
  </si>
  <si>
    <t xml:space="preserve">几喷</t>
  </si>
  <si>
    <t xml:space="preserve">咖喱鸡</t>
  </si>
  <si>
    <t xml:space="preserve">约3块</t>
  </si>
  <si>
    <t xml:space="preserve">香煎鸡胸</t>
  </si>
  <si>
    <t xml:space="preserve">白灼大虾</t>
  </si>
  <si>
    <t xml:space="preserve">清蒸鲈鱼</t>
  </si>
  <si>
    <t xml:space="preserve">豆芽炒牛肉</t>
  </si>
  <si>
    <t xml:space="preserve">番茄炒蛋</t>
  </si>
  <si>
    <r>
      <rPr>
        <sz val="10"/>
        <rFont val="Arial"/>
        <family val="2"/>
        <charset val="1"/>
      </rPr>
      <t xml:space="preserve">3</t>
    </r>
    <r>
      <rPr>
        <sz val="10"/>
        <rFont val="Noto Sans CJK SC"/>
        <family val="2"/>
      </rPr>
      <t xml:space="preserve">个</t>
    </r>
  </si>
  <si>
    <t xml:space="preserve">卤牛腱</t>
  </si>
  <si>
    <t xml:space="preserve">香煎三文鱼</t>
  </si>
  <si>
    <t xml:space="preserve">彩椒炒鸡胸</t>
  </si>
  <si>
    <t xml:space="preserve">蒜蓉西兰花</t>
  </si>
  <si>
    <t xml:space="preserve">清炒菠菜</t>
  </si>
  <si>
    <t xml:space="preserve">凉拌黄瓜</t>
  </si>
  <si>
    <t xml:space="preserve">蒜蓉金针菇</t>
  </si>
  <si>
    <t xml:space="preserve">醋溜白菜</t>
  </si>
  <si>
    <t xml:space="preserve">凉拌豆腐</t>
  </si>
  <si>
    <t xml:space="preserve">辣白菜豆腐汤</t>
  </si>
  <si>
    <t xml:space="preserve">汤</t>
  </si>
  <si>
    <t xml:space="preserve">海带豆腐汤</t>
  </si>
  <si>
    <t xml:space="preserve">番茄豆芽汤</t>
  </si>
  <si>
    <r>
      <rPr>
        <sz val="10"/>
        <rFont val="Arial"/>
        <family val="2"/>
        <charset val="1"/>
      </rPr>
      <t xml:space="preserve">1</t>
    </r>
    <r>
      <rPr>
        <sz val="10"/>
        <rFont val="Noto Sans CJK SC"/>
        <family val="2"/>
      </rPr>
      <t xml:space="preserve">个</t>
    </r>
  </si>
  <si>
    <t xml:space="preserve">萝卜牛肉汤</t>
  </si>
  <si>
    <t xml:space="preserve">辣牛肉豆腐汤</t>
  </si>
  <si>
    <t xml:space="preserve">白米饭</t>
  </si>
  <si>
    <t xml:space="preserve">主食</t>
  </si>
  <si>
    <t xml:space="preserve">约2拳</t>
  </si>
  <si>
    <t xml:space="preserve">蒸红薯</t>
  </si>
  <si>
    <t xml:space="preserve">燕麦粥</t>
  </si>
  <si>
    <t xml:space="preserve">半拳</t>
  </si>
  <si>
    <t xml:space="preserve">洋葱牛肉饭</t>
  </si>
  <si>
    <t xml:space="preserve">煲仔饭</t>
  </si>
  <si>
    <t xml:space="preserve">南瓜饭</t>
  </si>
  <si>
    <t xml:space="preserve">沙拉碗</t>
  </si>
  <si>
    <t xml:space="preserve">组装餐</t>
  </si>
  <si>
    <t xml:space="preserve">蛋白可换虾/金枪鱼/蛋</t>
  </si>
  <si>
    <t xml:space="preserve">三明治</t>
  </si>
  <si>
    <r>
      <rPr>
        <sz val="10"/>
        <rFont val="Arial"/>
        <family val="2"/>
        <charset val="1"/>
      </rPr>
      <t xml:space="preserve">2</t>
    </r>
    <r>
      <rPr>
        <sz val="10"/>
        <rFont val="Noto Sans CJK SC"/>
        <family val="2"/>
      </rPr>
      <t xml:space="preserve">片</t>
    </r>
  </si>
  <si>
    <t xml:space="preserve">或鸡胸/蛋</t>
  </si>
  <si>
    <t xml:space="preserve">Pasta Salad</t>
  </si>
  <si>
    <t xml:space="preserve">干重</t>
  </si>
  <si>
    <t xml:space="preserve">柚子醋乌冬</t>
  </si>
  <si>
    <t xml:space="preserve">北非蛋</t>
  </si>
  <si>
    <r>
      <rPr>
        <sz val="10"/>
        <rFont val="Arial"/>
        <family val="2"/>
        <charset val="1"/>
      </rPr>
      <t xml:space="preserve">2</t>
    </r>
    <r>
      <rPr>
        <sz val="10"/>
        <rFont val="Noto Sans CJK SC"/>
        <family val="2"/>
      </rPr>
      <t xml:space="preserve">个</t>
    </r>
  </si>
  <si>
    <t xml:space="preserve">水煮蛋</t>
  </si>
  <si>
    <t xml:space="preserve">snack</t>
  </si>
  <si>
    <t xml:space="preserve">希腊酸奶配水果</t>
  </si>
  <si>
    <t xml:space="preserve">坚果一份</t>
  </si>
  <si>
    <t xml:space="preserve">黑巧一份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</si>
  <si>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个</t>
    </r>
  </si>
  <si>
    <r>
      <rPr>
        <sz val="10"/>
        <rFont val="Arial"/>
        <family val="0"/>
        <charset val="1"/>
      </rPr>
      <t xml:space="preserve">St Michel</t>
    </r>
    <r>
      <rPr>
        <sz val="10"/>
        <rFont val="Noto Sans CJK SC"/>
        <family val="2"/>
      </rPr>
      <t xml:space="preserve">饼干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</si>
  <si>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份</t>
    </r>
    <r>
      <rPr>
        <sz val="10"/>
        <rFont val="Arial"/>
        <family val="0"/>
        <charset val="1"/>
      </rPr>
      <t xml:space="preserve">=2</t>
    </r>
    <r>
      <rPr>
        <sz val="10"/>
        <rFont val="Noto Sans CJK SC"/>
        <family val="2"/>
      </rPr>
      <t xml:space="preserve">片</t>
    </r>
  </si>
  <si>
    <t xml:space="preserve">金枪鱼意面</t>
  </si>
  <si>
    <t xml:space="preserve">干重80-100取90</t>
  </si>
  <si>
    <t xml:space="preserve">半罐</t>
  </si>
  <si>
    <t xml:space="preserve">酱共~25g</t>
  </si>
  <si>
    <t xml:space="preserve">黄芥末</t>
  </si>
  <si>
    <r>
      <rPr>
        <sz val="10"/>
        <rFont val="Arial"/>
        <family val="0"/>
        <charset val="1"/>
      </rPr>
      <t xml:space="preserve">1/5</t>
    </r>
    <r>
      <rPr>
        <sz val="10"/>
        <rFont val="Noto Sans CJK SC"/>
        <family val="2"/>
      </rPr>
      <t xml:space="preserve">根</t>
    </r>
  </si>
  <si>
    <t xml:space="preserve">十几个小番茄</t>
  </si>
  <si>
    <t xml:space="preserve">酸奶碗</t>
  </si>
  <si>
    <t xml:space="preserve">20g</t>
  </si>
  <si>
    <r>
      <rPr>
        <sz val="10"/>
        <rFont val="Arial"/>
        <family val="0"/>
        <charset val="1"/>
      </rPr>
      <t xml:space="preserve">20g</t>
    </r>
    <r>
      <rPr>
        <sz val="10"/>
        <rFont val="Noto Sans CJK SC"/>
        <family val="2"/>
      </rPr>
      <t xml:space="preserve">润湿</t>
    </r>
  </si>
  <si>
    <t xml:space="preserve">无糖150g</t>
  </si>
  <si>
    <t xml:space="preserve">三文鱼蔬菜面</t>
  </si>
  <si>
    <t xml:space="preserve">上批,这次规格1/2</t>
  </si>
  <si>
    <t xml:space="preserve">剩面条生重,按干面估</t>
  </si>
  <si>
    <t xml:space="preserve">剩下所有青菜,约150g估</t>
  </si>
  <si>
    <t xml:space="preserve">海鲜菇半包,约100g估</t>
  </si>
  <si>
    <t xml:space="preserve">牛奶燕麦</t>
  </si>
  <si>
    <t xml:space="preserve">50g</t>
  </si>
  <si>
    <t xml:space="preserve">150g</t>
  </si>
  <si>
    <t xml:space="preserve">金枪鱼意面(加彩椒蛋)</t>
  </si>
  <si>
    <t xml:space="preserve">同上次</t>
  </si>
  <si>
    <r>
      <rPr>
        <sz val="10"/>
        <rFont val="Arial"/>
        <family val="0"/>
        <charset val="1"/>
      </rPr>
      <t xml:space="preserve">6/27</t>
    </r>
    <r>
      <rPr>
        <sz val="10"/>
        <rFont val="Noto Sans CJK SC"/>
        <family val="2"/>
      </rPr>
      <t xml:space="preserve">加</t>
    </r>
    <r>
      <rPr>
        <sz val="10"/>
        <rFont val="Arial"/>
        <family val="0"/>
        <charset val="1"/>
      </rPr>
      <t xml:space="preserve">1.5</t>
    </r>
    <r>
      <rPr>
        <sz val="10"/>
        <rFont val="Noto Sans CJK SC"/>
        <family val="2"/>
      </rPr>
      <t xml:space="preserve">个</t>
    </r>
  </si>
  <si>
    <r>
      <rPr>
        <sz val="10"/>
        <rFont val="Arial"/>
        <family val="0"/>
        <charset val="1"/>
      </rPr>
      <t xml:space="preserve">6/27</t>
    </r>
    <r>
      <rPr>
        <sz val="10"/>
        <rFont val="Noto Sans CJK SC"/>
        <family val="2"/>
      </rPr>
      <t xml:space="preserve">加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个</t>
    </r>
  </si>
  <si>
    <t xml:space="preserve">冷冻巧克力水果</t>
  </si>
  <si>
    <t xml:space="preserve">约200kcal,待核</t>
  </si>
  <si>
    <t xml:space="preserve">韩式辣炖牛肉</t>
  </si>
  <si>
    <r>
      <rPr>
        <sz val="10"/>
        <rFont val="Noto Sans CJK SC"/>
        <family val="2"/>
      </rPr>
      <t xml:space="preserve">牛腩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带肥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生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</si>
  <si>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煸过肥油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看小票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</si>
  <si>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大勺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</si>
  <si>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小包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</si>
  <si>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勺</t>
    </r>
  </si>
  <si>
    <t xml:space="preserve">分次加</t>
  </si>
  <si>
    <t xml:space="preserve">起锅烧油</t>
  </si>
  <si>
    <t xml:space="preserve">加了年糕</t>
  </si>
  <si>
    <r>
      <rPr>
        <sz val="10"/>
        <rFont val="Noto Sans CJK SC"/>
        <family val="2"/>
      </rPr>
      <t xml:space="preserve">老豆腐 </t>
    </r>
    <r>
      <rPr>
        <sz val="10"/>
        <rFont val="Arial"/>
        <family val="0"/>
        <charset val="1"/>
      </rPr>
      <t xml:space="preserve">firm tofu</t>
    </r>
  </si>
  <si>
    <t xml:space="preserve">收汁放豆腐</t>
  </si>
  <si>
    <t xml:space="preserve">沙拉菜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</si>
  <si>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盒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</si>
  <si>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盒</t>
    </r>
    <r>
      <rPr>
        <sz val="10"/>
        <rFont val="Arial"/>
        <family val="0"/>
        <charset val="1"/>
      </rPr>
      <t xml:space="preserve">6oz</t>
    </r>
  </si>
  <si>
    <t xml:space="preserve">布拉塔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</si>
  <si>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块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预估</t>
    </r>
    <r>
      <rPr>
        <sz val="10"/>
        <rFont val="Arial"/>
        <family val="0"/>
        <charset val="1"/>
      </rPr>
      <t xml:space="preserve">400kcal</t>
    </r>
  </si>
  <si>
    <t xml:space="preserve">③ 配方汇总  —  整批=明细自动加总(生重相加)，每份=整批÷份数</t>
  </si>
  <si>
    <t xml:space="preserve">典型份数</t>
  </si>
  <si>
    <t xml:space="preserve">整批kcal</t>
  </si>
  <si>
    <t xml:space="preserve">整批P</t>
  </si>
  <si>
    <t xml:space="preserve">整批C</t>
  </si>
  <si>
    <t xml:space="preserve">整批F</t>
  </si>
  <si>
    <t xml:space="preserve">每份kcal</t>
  </si>
  <si>
    <t xml:space="preserve">每份P</t>
  </si>
  <si>
    <t xml:space="preserve">每份C</t>
  </si>
  <si>
    <t xml:space="preserve">每份F</t>
  </si>
  <si>
    <t xml:space="preserve">备注</t>
  </si>
  <si>
    <t xml:space="preserve">你常做,按实际牛腩量改份数</t>
  </si>
  <si>
    <t xml:space="preserve">咖喱块务必核热量</t>
  </si>
  <si>
    <t xml:space="preserve">做一批分几顿</t>
  </si>
  <si>
    <t xml:space="preserve">贴纸菜</t>
  </si>
  <si>
    <t xml:space="preserve">按拳数</t>
  </si>
  <si>
    <t xml:space="preserve">主食重,控份</t>
  </si>
  <si>
    <t xml:space="preserve">蛋白可换</t>
  </si>
  <si>
    <t xml:space="preserve">料多则分2顿</t>
  </si>
  <si>
    <r>
      <rPr>
        <b val="true"/>
        <sz val="10"/>
        <rFont val="Arial"/>
        <family val="2"/>
        <charset val="1"/>
      </rPr>
      <t xml:space="preserve">snack/</t>
    </r>
    <r>
      <rPr>
        <b val="true"/>
        <sz val="10"/>
        <rFont val="Noto Sans CJK SC"/>
        <family val="2"/>
      </rPr>
      <t xml:space="preserve">加餐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</si>
  <si>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份</t>
    </r>
    <r>
      <rPr>
        <sz val="10"/>
        <rFont val="Arial"/>
        <family val="0"/>
        <charset val="1"/>
      </rPr>
      <t xml:space="preserve">=2</t>
    </r>
    <r>
      <rPr>
        <sz val="10"/>
        <rFont val="Noto Sans CJK SC"/>
        <family val="2"/>
      </rPr>
      <t xml:space="preserve">片</t>
    </r>
    <r>
      <rPr>
        <sz val="10"/>
        <rFont val="Arial"/>
        <family val="0"/>
        <charset val="1"/>
      </rPr>
      <t xml:space="preserve">33g;</t>
    </r>
    <r>
      <rPr>
        <sz val="10"/>
        <rFont val="Noto Sans CJK SC"/>
        <family val="2"/>
      </rPr>
      <t xml:space="preserve">吃几份填份数</t>
    </r>
  </si>
  <si>
    <r>
      <rPr>
        <sz val="10"/>
        <rFont val="Arial"/>
        <family val="0"/>
        <charset val="1"/>
      </rPr>
      <t xml:space="preserve">6/25</t>
    </r>
    <r>
      <rPr>
        <sz val="10"/>
        <rFont val="Noto Sans CJK SC"/>
        <family val="2"/>
      </rPr>
      <t xml:space="preserve">晚餐</t>
    </r>
  </si>
  <si>
    <t xml:space="preserve">早餐,可复用</t>
  </si>
  <si>
    <r>
      <rPr>
        <sz val="10"/>
        <rFont val="Arial"/>
        <family val="0"/>
        <charset val="1"/>
      </rPr>
      <t xml:space="preserve">6/26</t>
    </r>
    <r>
      <rPr>
        <sz val="10"/>
        <rFont val="Noto Sans CJK SC"/>
        <family val="2"/>
      </rPr>
      <t xml:space="preserve">清库存</t>
    </r>
  </si>
  <si>
    <t xml:space="preserve">6/27 brunch</t>
  </si>
  <si>
    <r>
      <rPr>
        <sz val="10"/>
        <rFont val="Arial"/>
        <family val="0"/>
        <charset val="1"/>
      </rPr>
      <t xml:space="preserve">6/27</t>
    </r>
    <r>
      <rPr>
        <sz val="10"/>
        <rFont val="Noto Sans CJK SC"/>
        <family val="2"/>
      </rPr>
      <t xml:space="preserve">晚餐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金枪鱼意面变体</t>
    </r>
  </si>
  <si>
    <t xml:space="preserve">约200kcal待核</t>
  </si>
  <si>
    <r>
      <rPr>
        <sz val="10"/>
        <rFont val="Arial"/>
        <family val="0"/>
        <charset val="1"/>
      </rPr>
      <t xml:space="preserve">6/28,</t>
    </r>
    <r>
      <rPr>
        <sz val="10"/>
        <rFont val="Noto Sans CJK SC"/>
        <family val="2"/>
      </rPr>
      <t xml:space="preserve">吃</t>
    </r>
    <r>
      <rPr>
        <sz val="10"/>
        <rFont val="Arial"/>
        <family val="0"/>
        <charset val="1"/>
      </rPr>
      <t xml:space="preserve">1/3=1</t>
    </r>
    <r>
      <rPr>
        <sz val="10"/>
        <rFont val="Noto Sans CJK SC"/>
        <family val="2"/>
      </rPr>
      <t xml:space="preserve">份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整锅量估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看小票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</si>
  <si>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份</t>
    </r>
    <r>
      <rPr>
        <sz val="10"/>
        <rFont val="Arial"/>
        <family val="0"/>
        <charset val="1"/>
      </rPr>
      <t xml:space="preserve">=1</t>
    </r>
    <r>
      <rPr>
        <sz val="10"/>
        <rFont val="Noto Sans CJK SC"/>
        <family val="2"/>
      </rPr>
      <t xml:space="preserve">盒</t>
    </r>
    <r>
      <rPr>
        <sz val="10"/>
        <rFont val="Arial"/>
        <family val="0"/>
        <charset val="1"/>
      </rPr>
      <t xml:space="preserve">142g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</si>
  <si>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份</t>
    </r>
    <r>
      <rPr>
        <sz val="10"/>
        <rFont val="Arial"/>
        <family val="0"/>
        <charset val="1"/>
      </rPr>
      <t xml:space="preserve">=1</t>
    </r>
    <r>
      <rPr>
        <sz val="10"/>
        <rFont val="Noto Sans CJK SC"/>
        <family val="2"/>
      </rPr>
      <t xml:space="preserve">盒</t>
    </r>
    <r>
      <rPr>
        <sz val="10"/>
        <rFont val="Arial"/>
        <family val="0"/>
        <charset val="1"/>
      </rPr>
      <t xml:space="preserve">170g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</si>
  <si>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份</t>
    </r>
    <r>
      <rPr>
        <sz val="10"/>
        <rFont val="Arial"/>
        <family val="0"/>
        <charset val="1"/>
      </rPr>
      <t xml:space="preserve">=1</t>
    </r>
    <r>
      <rPr>
        <sz val="10"/>
        <rFont val="Noto Sans CJK SC"/>
        <family val="2"/>
      </rPr>
      <t xml:space="preserve">个</t>
    </r>
    <r>
      <rPr>
        <sz val="10"/>
        <rFont val="Arial"/>
        <family val="0"/>
        <charset val="1"/>
      </rPr>
      <t xml:space="preserve">125g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</si>
  <si>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份</t>
    </r>
    <r>
      <rPr>
        <sz val="10"/>
        <rFont val="Arial"/>
        <family val="0"/>
        <charset val="1"/>
      </rPr>
      <t xml:space="preserve">=1</t>
    </r>
    <r>
      <rPr>
        <sz val="10"/>
        <rFont val="Noto Sans CJK SC"/>
        <family val="2"/>
      </rPr>
      <t xml:space="preserve">个</t>
    </r>
    <r>
      <rPr>
        <sz val="10"/>
        <rFont val="Arial"/>
        <family val="0"/>
        <charset val="1"/>
      </rPr>
      <t xml:space="preserve">150g</t>
    </r>
  </si>
  <si>
    <r>
      <rPr>
        <sz val="10"/>
        <rFont val="Noto Sans CJK SC"/>
        <family val="2"/>
      </rPr>
      <t xml:space="preserve">外食预估</t>
    </r>
    <r>
      <rPr>
        <sz val="10"/>
        <rFont val="Arial"/>
        <family val="0"/>
        <charset val="1"/>
      </rPr>
      <t xml:space="preserve">400kcal</t>
    </r>
    <r>
      <rPr>
        <sz val="10"/>
        <rFont val="Noto Sans CJK SC"/>
        <family val="2"/>
      </rPr>
      <t xml:space="preserve">待定</t>
    </r>
  </si>
  <si>
    <t xml:space="preserve">④ 餐目标（来自你的贴纸 · 做饭参考预算，对账放到「每日」层）</t>
  </si>
  <si>
    <t xml:space="preserve">餐次</t>
  </si>
  <si>
    <t xml:space="preserve">热量目标kcal</t>
  </si>
  <si>
    <t xml:space="preserve">蛋白目标g</t>
  </si>
  <si>
    <t xml:space="preserve">构成要点</t>
  </si>
  <si>
    <t xml:space="preserve">备选/说明</t>
  </si>
  <si>
    <t xml:space="preserve">早餐</t>
  </si>
  <si>
    <t xml:space="preserve">400-450</t>
  </si>
  <si>
    <t xml:space="preserve">20-30</t>
  </si>
  <si>
    <t xml:space="preserve">蛋白打底+碳水+水果</t>
  </si>
  <si>
    <r>
      <rPr>
        <sz val="10"/>
        <rFont val="Arial"/>
        <family val="2"/>
        <charset val="1"/>
      </rPr>
      <t xml:space="preserve">A:</t>
    </r>
    <r>
      <rPr>
        <sz val="10"/>
        <rFont val="Noto Sans CJK SC"/>
        <family val="2"/>
      </rPr>
      <t xml:space="preserve">蛋</t>
    </r>
    <r>
      <rPr>
        <sz val="10"/>
        <rFont val="Arial"/>
        <family val="2"/>
        <charset val="1"/>
      </rPr>
      <t xml:space="preserve">+</t>
    </r>
    <r>
      <rPr>
        <sz val="10"/>
        <rFont val="Noto Sans CJK SC"/>
        <family val="2"/>
      </rPr>
      <t xml:space="preserve">酸奶</t>
    </r>
    <r>
      <rPr>
        <sz val="10"/>
        <rFont val="Arial"/>
        <family val="2"/>
        <charset val="1"/>
      </rPr>
      <t xml:space="preserve">+</t>
    </r>
    <r>
      <rPr>
        <sz val="10"/>
        <rFont val="Noto Sans CJK SC"/>
        <family val="2"/>
      </rPr>
      <t xml:space="preserve">燕麦</t>
    </r>
    <r>
      <rPr>
        <sz val="10"/>
        <rFont val="Arial"/>
        <family val="2"/>
        <charset val="1"/>
      </rPr>
      <t xml:space="preserve">+</t>
    </r>
    <r>
      <rPr>
        <sz val="10"/>
        <rFont val="Noto Sans CJK SC"/>
        <family val="2"/>
      </rPr>
      <t xml:space="preserve">果 </t>
    </r>
    <r>
      <rPr>
        <sz val="10"/>
        <rFont val="Arial"/>
        <family val="2"/>
        <charset val="1"/>
      </rPr>
      <t xml:space="preserve">/ B:</t>
    </r>
    <r>
      <rPr>
        <sz val="10"/>
        <rFont val="Noto Sans CJK SC"/>
        <family val="2"/>
      </rPr>
      <t xml:space="preserve">蛋</t>
    </r>
    <r>
      <rPr>
        <sz val="10"/>
        <rFont val="Arial"/>
        <family val="2"/>
        <charset val="1"/>
      </rPr>
      <t xml:space="preserve">+</t>
    </r>
    <r>
      <rPr>
        <sz val="10"/>
        <rFont val="Noto Sans CJK SC"/>
        <family val="2"/>
      </rPr>
      <t xml:space="preserve">豆浆</t>
    </r>
    <r>
      <rPr>
        <sz val="10"/>
        <rFont val="Arial"/>
        <family val="2"/>
        <charset val="1"/>
      </rPr>
      <t xml:space="preserve">+</t>
    </r>
    <r>
      <rPr>
        <sz val="10"/>
        <rFont val="Noto Sans CJK SC"/>
        <family val="2"/>
      </rPr>
      <t xml:space="preserve">全麦</t>
    </r>
    <r>
      <rPr>
        <sz val="10"/>
        <rFont val="Arial"/>
        <family val="2"/>
        <charset val="1"/>
      </rPr>
      <t xml:space="preserve">+</t>
    </r>
    <r>
      <rPr>
        <sz val="10"/>
        <rFont val="Noto Sans CJK SC"/>
        <family val="2"/>
      </rPr>
      <t xml:space="preserve">牛油果 </t>
    </r>
    <r>
      <rPr>
        <sz val="10"/>
        <rFont val="Arial"/>
        <family val="2"/>
        <charset val="1"/>
      </rPr>
      <t xml:space="preserve">/ C(</t>
    </r>
    <r>
      <rPr>
        <sz val="10"/>
        <rFont val="Noto Sans CJK SC"/>
        <family val="2"/>
      </rPr>
      <t xml:space="preserve">训练后</t>
    </r>
    <r>
      <rPr>
        <sz val="10"/>
        <rFont val="Arial"/>
        <family val="2"/>
        <charset val="1"/>
      </rPr>
      <t xml:space="preserve">):</t>
    </r>
    <r>
      <rPr>
        <sz val="10"/>
        <rFont val="Noto Sans CJK SC"/>
        <family val="2"/>
      </rPr>
      <t xml:space="preserve">豆浆</t>
    </r>
    <r>
      <rPr>
        <sz val="10"/>
        <rFont val="Arial"/>
        <family val="2"/>
        <charset val="1"/>
      </rPr>
      <t xml:space="preserve">+</t>
    </r>
    <r>
      <rPr>
        <sz val="10"/>
        <rFont val="Noto Sans CJK SC"/>
        <family val="2"/>
      </rPr>
      <t xml:space="preserve">蛋</t>
    </r>
    <r>
      <rPr>
        <sz val="10"/>
        <rFont val="Arial"/>
        <family val="2"/>
        <charset val="1"/>
      </rPr>
      <t xml:space="preserve">+</t>
    </r>
    <r>
      <rPr>
        <sz val="10"/>
        <rFont val="Noto Sans CJK SC"/>
        <family val="2"/>
      </rPr>
      <t xml:space="preserve">香蕉</t>
    </r>
  </si>
  <si>
    <t xml:space="preserve">午餐</t>
  </si>
  <si>
    <t xml:space="preserve">600</t>
  </si>
  <si>
    <t xml:space="preserve">米饭1拳+主菜1拳(150-200g)+蔬菜半盘</t>
  </si>
  <si>
    <t xml:space="preserve">主菜:三文鱼/鸡胸/瘦牛/虾/豆腐</t>
  </si>
  <si>
    <t xml:space="preserve">晚餐</t>
  </si>
  <si>
    <t xml:space="preserve">500-600</t>
  </si>
  <si>
    <t xml:space="preserve">米饭0.7-1拳+主菜偏瘦+蔬菜多</t>
  </si>
  <si>
    <t xml:space="preserve">晚训:训练后优先蛋白,碳水少量</t>
  </si>
  <si>
    <t xml:space="preserve">加餐</t>
  </si>
  <si>
    <r>
      <rPr>
        <sz val="10"/>
        <rFont val="Arial"/>
        <family val="2"/>
        <charset val="1"/>
      </rPr>
      <t xml:space="preserve">200g</t>
    </r>
    <r>
      <rPr>
        <sz val="10"/>
        <rFont val="Noto Sans CJK SC"/>
        <family val="2"/>
      </rPr>
      <t xml:space="preserve">酸奶 </t>
    </r>
    <r>
      <rPr>
        <sz val="10"/>
        <rFont val="Arial"/>
        <family val="2"/>
        <charset val="1"/>
      </rPr>
      <t xml:space="preserve">/ &lt;15g</t>
    </r>
    <r>
      <rPr>
        <sz val="10"/>
        <rFont val="Noto Sans CJK SC"/>
        <family val="2"/>
      </rPr>
      <t xml:space="preserve">坚果 </t>
    </r>
    <r>
      <rPr>
        <sz val="10"/>
        <rFont val="Arial"/>
        <family val="2"/>
        <charset val="1"/>
      </rPr>
      <t xml:space="preserve">/ </t>
    </r>
    <r>
      <rPr>
        <sz val="10"/>
        <rFont val="Noto Sans CJK SC"/>
        <family val="2"/>
      </rPr>
      <t xml:space="preserve">苹果 </t>
    </r>
    <r>
      <rPr>
        <sz val="10"/>
        <rFont val="Arial"/>
        <family val="2"/>
        <charset val="1"/>
      </rPr>
      <t xml:space="preserve">/ </t>
    </r>
    <r>
      <rPr>
        <sz val="10"/>
        <rFont val="Noto Sans CJK SC"/>
        <family val="2"/>
      </rPr>
      <t xml:space="preserve">牛奶</t>
    </r>
  </si>
  <si>
    <t xml:space="preserve">训练后优先蛋白</t>
  </si>
  <si>
    <t xml:space="preserve">每日合计目标</t>
  </si>
  <si>
    <t xml:space="preserve">每日蛋白</t>
  </si>
  <si>
    <t xml:space="preserve">110</t>
  </si>
  <si>
    <t xml:space="preserve">鸡胸/豆腐/牛肉/三文鱼/虾/希腊酸奶/豆浆</t>
  </si>
  <si>
    <t xml:space="preserve">贴纸:110g/天</t>
  </si>
  <si>
    <t xml:space="preserve">每日碳水</t>
  </si>
  <si>
    <r>
      <rPr>
        <sz val="10"/>
        <rFont val="Arial"/>
        <family val="2"/>
        <charset val="1"/>
      </rPr>
      <t xml:space="preserve">2-3</t>
    </r>
    <r>
      <rPr>
        <sz val="10"/>
        <rFont val="Noto Sans CJK SC"/>
        <family val="2"/>
      </rPr>
      <t xml:space="preserve">拳</t>
    </r>
    <r>
      <rPr>
        <sz val="10"/>
        <rFont val="Arial"/>
        <family val="2"/>
        <charset val="1"/>
      </rPr>
      <t xml:space="preserve">/</t>
    </r>
    <r>
      <rPr>
        <sz val="10"/>
        <rFont val="Noto Sans CJK SC"/>
        <family val="2"/>
      </rPr>
      <t xml:space="preserve">整天</t>
    </r>
  </si>
  <si>
    <t xml:space="preserve">红薯/燕麦/糙米/黑米</t>
  </si>
  <si>
    <t xml:space="preserve">每日脂肪</t>
  </si>
  <si>
    <t xml:space="preserve">牛油果+坚果(合计)</t>
  </si>
  <si>
    <t xml:space="preserve">⑤ 本次采购清单</t>
  </si>
  <si>
    <t xml:space="preserve">周期约10天 · 早餐6 · 正餐16-17 · 训练每天(力量4次)</t>
  </si>
  <si>
    <r>
      <rPr>
        <b val="true"/>
        <sz val="10"/>
        <rFont val="Arial"/>
        <family val="2"/>
        <charset val="1"/>
      </rPr>
      <t xml:space="preserve">A. </t>
    </r>
    <r>
      <rPr>
        <b val="true"/>
        <sz val="10"/>
        <rFont val="Noto Sans CJK SC"/>
        <family val="2"/>
      </rPr>
      <t xml:space="preserve">这两天先吃（会坏的库存）</t>
    </r>
  </si>
  <si>
    <t xml:space="preserve">数量</t>
  </si>
  <si>
    <t xml:space="preserve">期限</t>
  </si>
  <si>
    <t xml:space="preserve">怎么处理</t>
  </si>
  <si>
    <t xml:space="preserve">□</t>
  </si>
  <si>
    <t xml:space="preserve">一顿青菜</t>
  </si>
  <si>
    <r>
      <rPr>
        <sz val="10"/>
        <rFont val="Arial"/>
        <family val="2"/>
        <charset val="1"/>
      </rPr>
      <t xml:space="preserve">1</t>
    </r>
    <r>
      <rPr>
        <sz val="10"/>
        <rFont val="Noto Sans CJK SC"/>
        <family val="2"/>
      </rPr>
      <t xml:space="preserve">顿量</t>
    </r>
  </si>
  <si>
    <t xml:space="preserve">明天</t>
  </si>
  <si>
    <t xml:space="preserve">明天的配菜</t>
  </si>
  <si>
    <t xml:space="preserve">海鲜菇</t>
  </si>
  <si>
    <t xml:space="preserve">半包</t>
  </si>
  <si>
    <r>
      <rPr>
        <sz val="10"/>
        <rFont val="Arial"/>
        <family val="2"/>
        <charset val="1"/>
      </rPr>
      <t xml:space="preserve">2-3</t>
    </r>
    <r>
      <rPr>
        <sz val="10"/>
        <rFont val="Noto Sans CJK SC"/>
        <family val="2"/>
      </rPr>
      <t xml:space="preserve">天内</t>
    </r>
  </si>
  <si>
    <t xml:space="preserve">炒/汤，搭青菜</t>
  </si>
  <si>
    <t xml:space="preserve">肉馅</t>
  </si>
  <si>
    <t xml:space="preserve">一点</t>
  </si>
  <si>
    <t xml:space="preserve">几天内</t>
  </si>
  <si>
    <t xml:space="preserve">并进番茄肉末或丢汤里清掉</t>
  </si>
  <si>
    <r>
      <rPr>
        <b val="true"/>
        <sz val="10"/>
        <rFont val="Arial"/>
        <family val="2"/>
        <charset val="1"/>
      </rPr>
      <t xml:space="preserve">B. </t>
    </r>
    <r>
      <rPr>
        <b val="true"/>
        <sz val="10"/>
        <rFont val="Noto Sans CJK SC"/>
        <family val="2"/>
      </rPr>
      <t xml:space="preserve">库存排进本周（不坏、爱吃）→ 因此别买</t>
    </r>
  </si>
  <si>
    <t xml:space="preserve">排进</t>
  </si>
  <si>
    <t xml:space="preserve">因此别买</t>
  </si>
  <si>
    <t xml:space="preserve">三文鱼</t>
  </si>
  <si>
    <r>
      <rPr>
        <sz val="10"/>
        <rFont val="Arial"/>
        <family val="2"/>
        <charset val="1"/>
      </rPr>
      <t xml:space="preserve">2</t>
    </r>
    <r>
      <rPr>
        <sz val="10"/>
        <rFont val="Noto Sans CJK SC"/>
        <family val="2"/>
      </rPr>
      <t xml:space="preserve">块</t>
    </r>
  </si>
  <si>
    <r>
      <rPr>
        <sz val="10"/>
        <rFont val="Arial"/>
        <family val="2"/>
        <charset val="1"/>
      </rPr>
      <t xml:space="preserve">2</t>
    </r>
    <r>
      <rPr>
        <sz val="10"/>
        <rFont val="Noto Sans CJK SC"/>
        <family val="2"/>
      </rPr>
      <t xml:space="preserve">顿正餐</t>
    </r>
  </si>
  <si>
    <t xml:space="preserve">鱼类蛋白</t>
  </si>
  <si>
    <r>
      <rPr>
        <sz val="10"/>
        <rFont val="Arial"/>
        <family val="2"/>
        <charset val="1"/>
      </rPr>
      <t xml:space="preserve">everything</t>
    </r>
    <r>
      <rPr>
        <sz val="10"/>
        <rFont val="Noto Sans CJK SC"/>
        <family val="2"/>
      </rPr>
      <t xml:space="preserve">贝果</t>
    </r>
  </si>
  <si>
    <r>
      <rPr>
        <sz val="10"/>
        <rFont val="Arial"/>
        <family val="2"/>
        <charset val="1"/>
      </rPr>
      <t xml:space="preserve">3</t>
    </r>
    <r>
      <rPr>
        <sz val="10"/>
        <rFont val="Noto Sans CJK SC"/>
        <family val="2"/>
      </rPr>
      <t xml:space="preserve">顿早餐</t>
    </r>
  </si>
  <si>
    <t xml:space="preserve">早餐贝果/面包</t>
  </si>
  <si>
    <r>
      <rPr>
        <b val="true"/>
        <sz val="10"/>
        <rFont val="Arial"/>
        <family val="2"/>
        <charset val="1"/>
      </rPr>
      <t xml:space="preserve">C. </t>
    </r>
    <r>
      <rPr>
        <b val="true"/>
        <sz val="10"/>
        <rFont val="Noto Sans CJK SC"/>
        <family val="2"/>
      </rPr>
      <t xml:space="preserve">要买（黄色，可勾选）</t>
    </r>
  </si>
  <si>
    <t xml:space="preserve">项目</t>
  </si>
  <si>
    <t xml:space="preserve">规格/数量</t>
  </si>
  <si>
    <t xml:space="preserve">覆盖</t>
  </si>
  <si>
    <t xml:space="preserve">蛋白</t>
  </si>
  <si>
    <t xml:space="preserve">鸡胸肉</t>
  </si>
  <si>
    <t xml:space="preserve">family pack ~2.5 lb</t>
  </si>
  <si>
    <r>
      <rPr>
        <sz val="10"/>
        <rFont val="Arial"/>
        <family val="2"/>
        <charset val="1"/>
      </rPr>
      <t xml:space="preserve">6-7</t>
    </r>
    <r>
      <rPr>
        <sz val="10"/>
        <rFont val="Noto Sans CJK SC"/>
        <family val="2"/>
      </rPr>
      <t xml:space="preserve">顿</t>
    </r>
  </si>
  <si>
    <t xml:space="preserve">想稳就拿3 lb</t>
  </si>
  <si>
    <t xml:space="preserve">牛腩 或 瘦牛肉末</t>
  </si>
  <si>
    <t xml:space="preserve">~2 lb</t>
  </si>
  <si>
    <t xml:space="preserve">番茄炖牛腩4顿+余</t>
  </si>
  <si>
    <t xml:space="preserve">冷冻虾</t>
  </si>
  <si>
    <r>
      <rPr>
        <sz val="10"/>
        <rFont val="Arial"/>
        <family val="2"/>
        <charset val="1"/>
      </rPr>
      <t xml:space="preserve">1 lb </t>
    </r>
    <r>
      <rPr>
        <sz val="10"/>
        <rFont val="Noto Sans CJK SC"/>
        <family val="2"/>
      </rPr>
      <t xml:space="preserve">袋</t>
    </r>
  </si>
  <si>
    <r>
      <rPr>
        <sz val="10"/>
        <rFont val="Arial"/>
        <family val="2"/>
        <charset val="1"/>
      </rPr>
      <t xml:space="preserve">2-3</t>
    </r>
    <r>
      <rPr>
        <sz val="10"/>
        <rFont val="Noto Sans CJK SC"/>
        <family val="2"/>
      </rPr>
      <t xml:space="preserve">顿</t>
    </r>
  </si>
  <si>
    <t xml:space="preserve">老豆腐</t>
  </si>
  <si>
    <r>
      <rPr>
        <sz val="10"/>
        <rFont val="Arial"/>
        <family val="2"/>
        <charset val="1"/>
      </rPr>
      <t xml:space="preserve">2 </t>
    </r>
    <r>
      <rPr>
        <sz val="10"/>
        <rFont val="Noto Sans CJK SC"/>
        <family val="2"/>
      </rPr>
      <t xml:space="preserve">盒</t>
    </r>
  </si>
  <si>
    <t xml:space="preserve">汤/凉拌/配菜</t>
  </si>
  <si>
    <t xml:space="preserve">蛋白紧可+1盒</t>
  </si>
  <si>
    <r>
      <rPr>
        <sz val="10"/>
        <rFont val="Arial"/>
        <family val="2"/>
        <charset val="1"/>
      </rPr>
      <t xml:space="preserve">2 </t>
    </r>
    <r>
      <rPr>
        <sz val="10"/>
        <rFont val="Noto Sans CJK SC"/>
        <family val="2"/>
      </rPr>
      <t xml:space="preserve">打</t>
    </r>
  </si>
  <si>
    <t xml:space="preserve">早餐+蛋菜</t>
  </si>
  <si>
    <t xml:space="preserve">耐放</t>
  </si>
  <si>
    <t xml:space="preserve">生米</t>
  </si>
  <si>
    <r>
      <rPr>
        <sz val="10"/>
        <rFont val="Arial"/>
        <family val="2"/>
        <charset val="1"/>
      </rPr>
      <t xml:space="preserve">1 </t>
    </r>
    <r>
      <rPr>
        <sz val="10"/>
        <rFont val="Noto Sans CJK SC"/>
        <family val="2"/>
      </rPr>
      <t xml:space="preserve">袋 </t>
    </r>
    <r>
      <rPr>
        <sz val="10"/>
        <rFont val="Arial"/>
        <family val="2"/>
        <charset val="1"/>
      </rPr>
      <t xml:space="preserve">2 lb</t>
    </r>
  </si>
  <si>
    <t xml:space="preserve">多顿</t>
  </si>
  <si>
    <t xml:space="preserve">红薯</t>
  </si>
  <si>
    <r>
      <rPr>
        <sz val="10"/>
        <rFont val="Arial"/>
        <family val="2"/>
        <charset val="1"/>
      </rPr>
      <t xml:space="preserve">3-4 </t>
    </r>
    <r>
      <rPr>
        <sz val="10"/>
        <rFont val="Noto Sans CJK SC"/>
        <family val="2"/>
      </rPr>
      <t xml:space="preserve">个</t>
    </r>
  </si>
  <si>
    <t xml:space="preserve">碳水换口味</t>
  </si>
  <si>
    <t xml:space="preserve">燕麦</t>
  </si>
  <si>
    <r>
      <rPr>
        <sz val="10"/>
        <rFont val="Arial"/>
        <family val="2"/>
        <charset val="1"/>
      </rPr>
      <t xml:space="preserve">1 </t>
    </r>
    <r>
      <rPr>
        <sz val="10"/>
        <rFont val="Noto Sans CJK SC"/>
        <family val="2"/>
      </rPr>
      <t xml:space="preserve">桶</t>
    </r>
  </si>
  <si>
    <r>
      <rPr>
        <sz val="10"/>
        <rFont val="Arial"/>
        <family val="2"/>
        <charset val="1"/>
      </rPr>
      <t xml:space="preserve">3</t>
    </r>
    <r>
      <rPr>
        <sz val="10"/>
        <rFont val="Noto Sans CJK SC"/>
        <family val="2"/>
      </rPr>
      <t xml:space="preserve">顿非贝果早餐</t>
    </r>
  </si>
  <si>
    <t xml:space="preserve">（面条）</t>
  </si>
  <si>
    <t xml:space="preserve">不买</t>
  </si>
  <si>
    <t xml:space="preserve">库存6-8顿</t>
  </si>
  <si>
    <t xml:space="preserve">愿吃几顿你定，剩的别硬塞</t>
  </si>
  <si>
    <t xml:space="preserve">洋葱/胡萝卜/卷心菜/彩椒</t>
  </si>
  <si>
    <t xml:space="preserve">各1（袋/颗）</t>
  </si>
  <si>
    <t xml:space="preserve">耐放主力</t>
  </si>
  <si>
    <t xml:space="preserve">放得久</t>
  </si>
  <si>
    <t xml:space="preserve">西兰花/番茄/黄瓜</t>
  </si>
  <si>
    <t xml:space="preserve">适量</t>
  </si>
  <si>
    <t xml:space="preserve">中等</t>
  </si>
  <si>
    <t xml:space="preserve">菠菜 或 生菜</t>
  </si>
  <si>
    <r>
      <rPr>
        <sz val="10"/>
        <rFont val="Arial"/>
        <family val="2"/>
        <charset val="1"/>
      </rPr>
      <t xml:space="preserve">1 </t>
    </r>
    <r>
      <rPr>
        <sz val="10"/>
        <rFont val="Noto Sans CJK SC"/>
        <family val="2"/>
      </rPr>
      <t xml:space="preserve">盒</t>
    </r>
  </si>
  <si>
    <t xml:space="preserve">沙拉</t>
  </si>
  <si>
    <r>
      <rPr>
        <sz val="10"/>
        <rFont val="Arial"/>
        <family val="2"/>
        <charset val="1"/>
      </rPr>
      <t xml:space="preserve">5-7</t>
    </r>
    <r>
      <rPr>
        <sz val="10"/>
        <rFont val="Noto Sans CJK SC"/>
        <family val="2"/>
      </rPr>
      <t xml:space="preserve">天内吃，可能第</t>
    </r>
    <r>
      <rPr>
        <sz val="10"/>
        <rFont val="Arial"/>
        <family val="2"/>
        <charset val="1"/>
      </rPr>
      <t xml:space="preserve">7</t>
    </r>
    <r>
      <rPr>
        <sz val="10"/>
        <rFont val="Noto Sans CJK SC"/>
        <family val="2"/>
      </rPr>
      <t xml:space="preserve">天补一次</t>
    </r>
  </si>
  <si>
    <t xml:space="preserve">水果/加餐</t>
  </si>
  <si>
    <r>
      <rPr>
        <sz val="10"/>
        <rFont val="Arial"/>
        <family val="2"/>
        <charset val="1"/>
      </rPr>
      <t xml:space="preserve">1 </t>
    </r>
    <r>
      <rPr>
        <sz val="10"/>
        <rFont val="Noto Sans CJK SC"/>
        <family val="2"/>
      </rPr>
      <t xml:space="preserve">小串</t>
    </r>
  </si>
  <si>
    <t xml:space="preserve">训练后/早餐C</t>
  </si>
  <si>
    <t xml:space="preserve">力量日用得上</t>
  </si>
  <si>
    <r>
      <rPr>
        <sz val="10"/>
        <rFont val="Arial"/>
        <family val="2"/>
        <charset val="1"/>
      </rPr>
      <t xml:space="preserve">4-5 </t>
    </r>
    <r>
      <rPr>
        <sz val="10"/>
        <rFont val="Noto Sans CJK SC"/>
        <family val="2"/>
      </rPr>
      <t xml:space="preserve">个</t>
    </r>
  </si>
  <si>
    <t xml:space="preserve">希腊酸奶</t>
  </si>
  <si>
    <r>
      <rPr>
        <sz val="10"/>
        <rFont val="Arial"/>
        <family val="2"/>
        <charset val="1"/>
      </rPr>
      <t xml:space="preserve">32 oz 1</t>
    </r>
    <r>
      <rPr>
        <sz val="10"/>
        <rFont val="Noto Sans CJK SC"/>
        <family val="2"/>
      </rPr>
      <t xml:space="preserve">桶</t>
    </r>
  </si>
  <si>
    <t xml:space="preserve">早餐+加餐</t>
  </si>
  <si>
    <r>
      <rPr>
        <sz val="10"/>
        <rFont val="Arial"/>
        <family val="2"/>
        <charset val="1"/>
      </rPr>
      <t xml:space="preserve">1 </t>
    </r>
    <r>
      <rPr>
        <sz val="10"/>
        <rFont val="Noto Sans CJK SC"/>
        <family val="2"/>
      </rPr>
      <t xml:space="preserve">袋</t>
    </r>
  </si>
  <si>
    <t xml:space="preserve">加餐&lt;15g/次</t>
  </si>
  <si>
    <t xml:space="preserve">牛奶</t>
  </si>
  <si>
    <t xml:space="preserve">别买gallon，易剩</t>
  </si>
  <si>
    <t xml:space="preserve">调味（缺才买）</t>
  </si>
  <si>
    <t xml:space="preserve">做咖喱鸡</t>
  </si>
  <si>
    <t xml:space="preserve">牌子差异大，看成分</t>
  </si>
  <si>
    <t xml:space="preserve">油/醋/酱</t>
  </si>
  <si>
    <t xml:space="preserve">有就不买</t>
  </si>
  <si>
    <r>
      <rPr>
        <b val="true"/>
        <sz val="10"/>
        <rFont val="Arial"/>
        <family val="2"/>
        <charset val="1"/>
      </rPr>
      <t xml:space="preserve">D. </t>
    </r>
    <r>
      <rPr>
        <b val="true"/>
        <sz val="10"/>
        <rFont val="Noto Sans CJK SC"/>
        <family val="2"/>
      </rPr>
      <t xml:space="preserve">提醒</t>
    </r>
  </si>
  <si>
    <t xml:space="preserve">按此量10天蛋白总量在每日110g目标的下沿偏紧。想稳：鸡胸拿3 lb 或 +1盒豆腐。</t>
  </si>
  <si>
    <t xml:space="preserve">下一轮把这页接成自动：周计划选配方×锅数 → 引用②配方明细汇总食材需求(克) → 减食材库「久放可清点」的剩货 → 按包装取整。这次先手动跑通一遍。</t>
  </si>
  <si>
    <t xml:space="preserve">⑥ 库存表  —  现有库存 + 6/3收据导入样本</t>
  </si>
  <si>
    <t xml:space="preserve">状态: ✓在库可用 / ◐将尽先吃 / △库无待加 / ⚠计划外</t>
  </si>
  <si>
    <t xml:space="preserve">对应食材</t>
  </si>
  <si>
    <t xml:space="preserve">当前数量</t>
  </si>
  <si>
    <t xml:space="preserve">单位</t>
  </si>
  <si>
    <t xml:space="preserve">入库日期</t>
  </si>
  <si>
    <t xml:space="preserve">状态</t>
  </si>
  <si>
    <t xml:space="preserve">收据原名/来源</t>
  </si>
  <si>
    <t xml:space="preserve">单价$</t>
  </si>
  <si>
    <t xml:space="preserve">现有库存（你冰箱现状）</t>
  </si>
  <si>
    <t xml:space="preserve">现有</t>
  </si>
  <si>
    <t xml:space="preserve">◐</t>
  </si>
  <si>
    <t xml:space="preserve">将尽</t>
  </si>
  <si>
    <r>
      <rPr>
        <sz val="10"/>
        <rFont val="Arial"/>
        <family val="0"/>
        <charset val="1"/>
      </rPr>
      <t xml:space="preserve">g</t>
    </r>
    <r>
      <rPr>
        <sz val="10"/>
        <rFont val="Noto Sans CJK SC"/>
        <family val="2"/>
      </rPr>
      <t xml:space="preserve">生米</t>
    </r>
  </si>
  <si>
    <t xml:space="preserve">常温</t>
  </si>
  <si>
    <t xml:space="preserve">✓</t>
  </si>
  <si>
    <t xml:space="preserve">g</t>
  </si>
  <si>
    <t xml:space="preserve">够6-8顿</t>
  </si>
  <si>
    <t xml:space="preserve">顿</t>
  </si>
  <si>
    <t xml:space="preserve">面条库存</t>
  </si>
  <si>
    <t xml:space="preserve">6/26用100g,剩约6顿</t>
  </si>
  <si>
    <t xml:space="preserve">6/26吃掉1块,剩1</t>
  </si>
  <si>
    <t xml:space="preserve">包</t>
  </si>
  <si>
    <t xml:space="preserve">✗</t>
  </si>
  <si>
    <r>
      <rPr>
        <sz val="10"/>
        <rFont val="Arial"/>
        <family val="0"/>
        <charset val="1"/>
      </rPr>
      <t xml:space="preserve">6/26</t>
    </r>
    <r>
      <rPr>
        <sz val="10"/>
        <rFont val="Noto Sans CJK SC"/>
        <family val="2"/>
      </rPr>
      <t xml:space="preserve">吃完</t>
    </r>
  </si>
  <si>
    <t xml:space="preserve">青菜</t>
  </si>
  <si>
    <t xml:space="preserve">6/26吃完</t>
  </si>
  <si>
    <r>
      <rPr>
        <sz val="10"/>
        <rFont val="Arial"/>
        <family val="0"/>
        <charset val="1"/>
      </rPr>
      <t xml:space="preserve">—(</t>
    </r>
    <r>
      <rPr>
        <sz val="10"/>
        <rFont val="Noto Sans CJK SC"/>
        <family val="2"/>
      </rPr>
      <t xml:space="preserve">待加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贝果</t>
    </r>
    <r>
      <rPr>
        <sz val="10"/>
        <rFont val="Arial"/>
        <family val="0"/>
        <charset val="1"/>
      </rPr>
      <t xml:space="preserve">)</t>
    </r>
  </si>
  <si>
    <t xml:space="preserve">△</t>
  </si>
  <si>
    <t xml:space="preserve">库无,待加</t>
  </si>
  <si>
    <r>
      <rPr>
        <b val="true"/>
        <sz val="10"/>
        <rFont val="Arial"/>
        <family val="0"/>
        <charset val="1"/>
      </rPr>
      <t xml:space="preserve">6/3 Kroger </t>
    </r>
    <r>
      <rPr>
        <b val="true"/>
        <sz val="10"/>
        <rFont val="Noto Sans CJK SC"/>
        <family val="2"/>
      </rPr>
      <t xml:space="preserve">收据导入样本（演示映射）</t>
    </r>
  </si>
  <si>
    <t xml:space="preserve">6/3</t>
  </si>
  <si>
    <t xml:space="preserve">Kroger Atlantic Salmon Fillet 16oz</t>
  </si>
  <si>
    <t xml:space="preserve">Large Ripe Avocado ×2</t>
  </si>
  <si>
    <t xml:space="preserve">Green Bell Pepper 1ct</t>
  </si>
  <si>
    <t xml:space="preserve">约150g</t>
  </si>
  <si>
    <t xml:space="preserve">Baby Spring Mix 5oz</t>
  </si>
  <si>
    <t xml:space="preserve">近似映射沙拉菜</t>
  </si>
  <si>
    <r>
      <rPr>
        <sz val="10"/>
        <rFont val="Arial"/>
        <family val="0"/>
        <charset val="1"/>
      </rPr>
      <t xml:space="preserve">—(</t>
    </r>
    <r>
      <rPr>
        <sz val="10"/>
        <rFont val="Noto Sans CJK SC"/>
        <family val="2"/>
      </rPr>
      <t xml:space="preserve">待加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培根</t>
    </r>
    <r>
      <rPr>
        <sz val="10"/>
        <rFont val="Arial"/>
        <family val="0"/>
        <charset val="1"/>
      </rPr>
      <t xml:space="preserve">)</t>
    </r>
  </si>
  <si>
    <t xml:space="preserve">Hormel Bacon 16oz</t>
  </si>
  <si>
    <t xml:space="preserve">库无,128册有培根菜</t>
  </si>
  <si>
    <r>
      <rPr>
        <sz val="10"/>
        <rFont val="Arial"/>
        <family val="0"/>
        <charset val="1"/>
      </rPr>
      <t xml:space="preserve">—(</t>
    </r>
    <r>
      <rPr>
        <sz val="10"/>
        <rFont val="Noto Sans CJK SC"/>
        <family val="2"/>
      </rPr>
      <t xml:space="preserve">待加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白吐司</t>
    </r>
    <r>
      <rPr>
        <sz val="10"/>
        <rFont val="Arial"/>
        <family val="0"/>
        <charset val="1"/>
      </rPr>
      <t xml:space="preserve">)</t>
    </r>
  </si>
  <si>
    <t xml:space="preserve">Tuscan White Bread 17.6oz</t>
  </si>
  <si>
    <t xml:space="preserve">非全麦,库无</t>
  </si>
  <si>
    <r>
      <rPr>
        <sz val="10"/>
        <rFont val="Arial"/>
        <family val="0"/>
        <charset val="1"/>
      </rPr>
      <t xml:space="preserve">—(</t>
    </r>
    <r>
      <rPr>
        <sz val="10"/>
        <rFont val="Noto Sans CJK SC"/>
        <family val="2"/>
      </rPr>
      <t xml:space="preserve">待加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李子</t>
    </r>
    <r>
      <rPr>
        <sz val="10"/>
        <rFont val="Arial"/>
        <family val="0"/>
        <charset val="1"/>
      </rPr>
      <t xml:space="preserve">)</t>
    </r>
  </si>
  <si>
    <t xml:space="preserve">Black Plum 1ct</t>
  </si>
  <si>
    <t xml:space="preserve">库无</t>
  </si>
  <si>
    <r>
      <rPr>
        <sz val="10"/>
        <rFont val="Arial"/>
        <family val="0"/>
        <charset val="1"/>
      </rPr>
      <t xml:space="preserve">—(</t>
    </r>
    <r>
      <rPr>
        <sz val="10"/>
        <rFont val="Noto Sans CJK SC"/>
        <family val="2"/>
      </rPr>
      <t xml:space="preserve">待加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桃子</t>
    </r>
    <r>
      <rPr>
        <sz val="10"/>
        <rFont val="Arial"/>
        <family val="0"/>
        <charset val="1"/>
      </rPr>
      <t xml:space="preserve">)</t>
    </r>
  </si>
  <si>
    <t xml:space="preserve">Yellow Peach 1ct</t>
  </si>
  <si>
    <r>
      <rPr>
        <sz val="10"/>
        <rFont val="Arial"/>
        <family val="0"/>
        <charset val="1"/>
      </rPr>
      <t xml:space="preserve">—(</t>
    </r>
    <r>
      <rPr>
        <sz val="10"/>
        <rFont val="Noto Sans CJK SC"/>
        <family val="2"/>
      </rPr>
      <t xml:space="preserve">待加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柠檬</t>
    </r>
    <r>
      <rPr>
        <sz val="10"/>
        <rFont val="Arial"/>
        <family val="0"/>
        <charset val="1"/>
      </rPr>
      <t xml:space="preserve">)</t>
    </r>
  </si>
  <si>
    <t xml:space="preserve">调味</t>
  </si>
  <si>
    <t xml:space="preserve">Large Lemon 1ct</t>
  </si>
  <si>
    <t xml:space="preserve">⚠计划外:冷冻草莓(巧克力)</t>
  </si>
  <si>
    <t xml:space="preserve">⚠</t>
  </si>
  <si>
    <t xml:space="preserve">Tru Fru Frozen Strawberries White Choc 8oz</t>
  </si>
  <si>
    <t xml:space="preserve">6/27吃约60g</t>
  </si>
  <si>
    <t xml:space="preserve">⚠计划外:冷冻香蕉(巧克力)</t>
  </si>
  <si>
    <t xml:space="preserve">Tru Fru Frozen Bananas Dark Choc PB 8oz</t>
  </si>
  <si>
    <t xml:space="preserve">计划外零食</t>
  </si>
  <si>
    <t xml:space="preserve">收据合计(对照Order Total $54.54核买多买少):</t>
  </si>
  <si>
    <t xml:space="preserve">⑦ 每餐记录  —  选配方·填份数，自动算这餐摄入（样本日 6/4）</t>
  </si>
  <si>
    <t xml:space="preserve">一餐拆成几行（主菜+主食+蔬菜）。配方从③配方汇总取每份营养。份数=吃了几份。</t>
  </si>
  <si>
    <t xml:space="preserve">日期</t>
  </si>
  <si>
    <t xml:space="preserve">配方/食物</t>
  </si>
  <si>
    <t xml:space="preserve">份数</t>
  </si>
  <si>
    <t xml:space="preserve">查每份kcal</t>
  </si>
  <si>
    <t xml:space="preserve">查每份P</t>
  </si>
  <si>
    <t xml:space="preserve">查每份C</t>
  </si>
  <si>
    <t xml:space="preserve">查每份F</t>
  </si>
  <si>
    <t xml:space="preserve">本餐kcal</t>
  </si>
  <si>
    <t xml:space="preserve">本餐P</t>
  </si>
  <si>
    <t xml:space="preserve">本餐C</t>
  </si>
  <si>
    <t xml:space="preserve">本餐F</t>
  </si>
  <si>
    <t xml:space="preserve">6/4</t>
  </si>
  <si>
    <t xml:space="preserve">训练后,优先蛋白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</si>
  <si>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个蛋</t>
    </r>
  </si>
  <si>
    <t xml:space="preserve">吃1份(整锅1/4)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</si>
  <si>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拳</t>
    </r>
  </si>
  <si>
    <t xml:space="preserve">蔬菜够</t>
  </si>
  <si>
    <t xml:space="preserve">&lt;15g</t>
  </si>
  <si>
    <t xml:space="preserve">用库存三文鱼</t>
  </si>
  <si>
    <t xml:space="preserve">当日合计 (6/4)</t>
  </si>
  <si>
    <t xml:space="preserve">每日目标</t>
  </si>
  <si>
    <t xml:space="preserve">~1900</t>
  </si>
  <si>
    <t xml:space="preserve">蛋白110g是硬指标;热量减脂参考</t>
  </si>
  <si>
    <t xml:space="preserve">6/25</t>
  </si>
  <si>
    <t xml:space="preserve">参考值,下次拍包装</t>
  </si>
  <si>
    <t xml:space="preserve">6片=3份(每份2片)</t>
  </si>
  <si>
    <t xml:space="preserve">意面90/金枪鱼半罐/酱25/黄瓜/小番茄</t>
  </si>
  <si>
    <t xml:space="preserve">当日合计 (6/25)</t>
  </si>
  <si>
    <t xml:space="preserve">蛋白110硬指标</t>
  </si>
  <si>
    <t xml:space="preserve">6/26</t>
  </si>
  <si>
    <t xml:space="preserve">早午餐</t>
  </si>
  <si>
    <t xml:space="preserve">燕麦20/牛奶20/无糖酸奶150</t>
  </si>
  <si>
    <t xml:space="preserve">清库存:三文鱼227/面100/青菜/海鲜菇</t>
  </si>
  <si>
    <t xml:space="preserve">当日合计 (6/26)</t>
  </si>
  <si>
    <t xml:space="preserve">6/27</t>
  </si>
  <si>
    <t xml:space="preserve">燕麦50/牛奶150</t>
  </si>
  <si>
    <t xml:space="preserve">剩货,你估200kcal,待拍标签</t>
  </si>
  <si>
    <t xml:space="preserve">上次基础+1.5彩椒+1蛋</t>
  </si>
  <si>
    <t xml:space="preserve">当日合计 (6/27)</t>
  </si>
  <si>
    <t xml:space="preserve">6/28</t>
  </si>
  <si>
    <r>
      <rPr>
        <sz val="10"/>
        <rFont val="Noto Sans CJK SC"/>
        <family val="2"/>
      </rPr>
      <t xml:space="preserve">吃</t>
    </r>
    <r>
      <rPr>
        <sz val="10"/>
        <rFont val="Arial"/>
        <family val="0"/>
        <charset val="1"/>
      </rPr>
      <t xml:space="preserve">1/3</t>
    </r>
    <r>
      <rPr>
        <sz val="10"/>
        <rFont val="Noto Sans CJK SC"/>
        <family val="2"/>
      </rPr>
      <t xml:space="preserve">锅</t>
    </r>
    <r>
      <rPr>
        <sz val="10"/>
        <rFont val="Arial"/>
        <family val="0"/>
        <charset val="1"/>
      </rPr>
      <t xml:space="preserve">=1</t>
    </r>
    <r>
      <rPr>
        <sz val="10"/>
        <rFont val="Noto Sans CJK SC"/>
        <family val="2"/>
      </rPr>
      <t xml:space="preserve">份</t>
    </r>
  </si>
  <si>
    <r>
      <rPr>
        <sz val="10"/>
        <rFont val="Arial"/>
        <family val="0"/>
        <charset val="1"/>
      </rPr>
      <t xml:space="preserve">1.5</t>
    </r>
    <r>
      <rPr>
        <sz val="10"/>
        <rFont val="Noto Sans CJK SC"/>
        <family val="2"/>
      </rPr>
      <t xml:space="preserve">拳</t>
    </r>
  </si>
  <si>
    <r>
      <rPr>
        <sz val="10"/>
        <rFont val="Arial"/>
        <family val="0"/>
        <charset val="1"/>
      </rPr>
      <t xml:space="preserve">1/3</t>
    </r>
    <r>
      <rPr>
        <sz val="10"/>
        <rFont val="Noto Sans CJK SC"/>
        <family val="2"/>
      </rPr>
      <t xml:space="preserve">盒</t>
    </r>
  </si>
  <si>
    <r>
      <rPr>
        <sz val="10"/>
        <rFont val="Arial"/>
        <family val="0"/>
        <charset val="1"/>
      </rPr>
      <t xml:space="preserve">1/4</t>
    </r>
    <r>
      <rPr>
        <sz val="10"/>
        <rFont val="Noto Sans CJK SC"/>
        <family val="2"/>
      </rPr>
      <t xml:space="preserve">盒</t>
    </r>
  </si>
  <si>
    <r>
      <rPr>
        <sz val="10"/>
        <rFont val="Arial"/>
        <family val="0"/>
        <charset val="1"/>
      </rPr>
      <t xml:space="preserve">1/4</t>
    </r>
    <r>
      <rPr>
        <sz val="10"/>
        <rFont val="Noto Sans CJK SC"/>
        <family val="2"/>
      </rPr>
      <t xml:space="preserve">个</t>
    </r>
  </si>
  <si>
    <r>
      <rPr>
        <sz val="10"/>
        <rFont val="Noto Sans CJK SC"/>
        <family val="2"/>
      </rPr>
      <t xml:space="preserve">外食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预估</t>
    </r>
    <r>
      <rPr>
        <sz val="10"/>
        <rFont val="Arial"/>
        <family val="0"/>
        <charset val="1"/>
      </rPr>
      <t xml:space="preserve">400kcal</t>
    </r>
  </si>
  <si>
    <r>
      <rPr>
        <b val="true"/>
        <sz val="10"/>
        <rFont val="Noto Sans CJK SC"/>
        <family val="2"/>
      </rPr>
      <t xml:space="preserve">当日合计 </t>
    </r>
    <r>
      <rPr>
        <b val="true"/>
        <sz val="10"/>
        <rFont val="Arial"/>
        <family val="0"/>
        <charset val="1"/>
      </rPr>
      <t xml:space="preserve">(6/28)</t>
    </r>
  </si>
  <si>
    <r>
      <rPr>
        <sz val="10"/>
        <rFont val="Noto Sans CJK SC"/>
        <family val="2"/>
      </rPr>
      <t xml:space="preserve">蛋白</t>
    </r>
    <r>
      <rPr>
        <sz val="10"/>
        <rFont val="Arial"/>
        <family val="0"/>
        <charset val="1"/>
      </rPr>
      <t xml:space="preserve">110</t>
    </r>
    <r>
      <rPr>
        <sz val="10"/>
        <rFont val="Noto Sans CJK SC"/>
        <family val="2"/>
      </rPr>
      <t xml:space="preserve">硬指标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</si>
</sst>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2F5233"/>
      <name val="Noto Sans CJK SC"/>
      <family val="2"/>
      <charset val="1"/>
    </font>
    <font>
      <i val="true"/>
      <sz val="10"/>
      <color rgb="FF666666"/>
      <name val="Noto Sans CJK SC"/>
      <family val="2"/>
      <charset val="1"/>
    </font>
    <font>
      <b val="true"/>
      <sz val="11"/>
      <color rgb="FF2F5233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0"/>
      <name val="Noto Sans CJK SC"/>
      <family val="2"/>
      <charset val="1"/>
    </font>
    <font>
      <sz val="10"/>
      <name val="Arial"/>
      <family val="2"/>
      <charset val="1"/>
    </font>
    <font>
      <sz val="10"/>
      <name val="Noto Sans CJK SC"/>
      <family val="2"/>
    </font>
    <font>
      <b val="true"/>
      <sz val="11"/>
      <color rgb="FFFFFFFF"/>
      <name val="Noto Sans CJK SC"/>
      <family val="2"/>
      <charset val="1"/>
    </font>
    <font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b val="true"/>
      <sz val="10"/>
      <name val="Arial"/>
      <family val="2"/>
      <charset val="1"/>
    </font>
    <font>
      <b val="true"/>
      <sz val="11"/>
      <color rgb="FFFFFFFF"/>
      <name val="Arial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E2EFDA"/>
        <bgColor rgb="FFDDEBF7"/>
      </patternFill>
    </fill>
    <fill>
      <patternFill patternType="solid">
        <fgColor rgb="FF2F5233"/>
        <bgColor rgb="FF333300"/>
      </patternFill>
    </fill>
    <fill>
      <patternFill patternType="solid">
        <fgColor rgb="FFFFF2CC"/>
        <bgColor rgb="FFFCE4D6"/>
      </patternFill>
    </fill>
    <fill>
      <patternFill patternType="solid">
        <fgColor rgb="FFF6F8F6"/>
        <bgColor rgb="FFF2F2F2"/>
      </patternFill>
    </fill>
    <fill>
      <patternFill patternType="solid">
        <fgColor rgb="FFEEF3FA"/>
        <bgColor rgb="FFF2F2F2"/>
      </patternFill>
    </fill>
    <fill>
      <patternFill patternType="solid">
        <fgColor rgb="FFFFFFFF"/>
        <bgColor rgb="FFF6F8F6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2DCDB"/>
      </patternFill>
    </fill>
    <fill>
      <patternFill patternType="solid">
        <fgColor rgb="FFF2F2F2"/>
        <bgColor rgb="FFEEF3FA"/>
      </patternFill>
    </fill>
    <fill>
      <patternFill patternType="solid">
        <fgColor rgb="FFF2DCDB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F2F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3FA"/>
      <rgbColor rgb="FFE2EFDA"/>
      <rgbColor rgb="FFFCE4D6"/>
      <rgbColor rgb="FFF6F8F6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2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0"/>
    <col collapsed="false" customWidth="true" hidden="false" outlineLevel="0" max="3" min="3" style="1" width="96"/>
  </cols>
  <sheetData>
    <row r="2" customFormat="false" ht="22.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  <c r="C5" s="5"/>
    </row>
    <row r="6" customFormat="false" ht="15" hidden="false" customHeight="true" outlineLevel="0" collapsed="false">
      <c r="B6" s="6" t="s">
        <v>3</v>
      </c>
      <c r="C6" s="7" t="s">
        <v>4</v>
      </c>
    </row>
    <row r="7" customFormat="false" ht="15" hidden="false" customHeight="true" outlineLevel="0" collapsed="false">
      <c r="B7" s="6" t="s">
        <v>5</v>
      </c>
      <c r="C7" s="7" t="s">
        <v>6</v>
      </c>
    </row>
    <row r="8" customFormat="false" ht="15" hidden="false" customHeight="true" outlineLevel="0" collapsed="false">
      <c r="B8" s="6" t="s">
        <v>7</v>
      </c>
      <c r="C8" s="7" t="s">
        <v>8</v>
      </c>
    </row>
    <row r="9" customFormat="false" ht="15" hidden="false" customHeight="true" outlineLevel="0" collapsed="false">
      <c r="B9" s="6"/>
      <c r="C9" s="7"/>
    </row>
    <row r="10" customFormat="false" ht="15" hidden="false" customHeight="true" outlineLevel="0" collapsed="false">
      <c r="B10" s="4" t="s">
        <v>9</v>
      </c>
      <c r="C10" s="5"/>
    </row>
    <row r="11" customFormat="false" ht="15" hidden="false" customHeight="true" outlineLevel="0" collapsed="false">
      <c r="B11" s="6" t="s">
        <v>10</v>
      </c>
      <c r="C11" s="7" t="s">
        <v>11</v>
      </c>
    </row>
    <row r="12" customFormat="false" ht="15" hidden="false" customHeight="true" outlineLevel="0" collapsed="false">
      <c r="B12" s="6" t="s">
        <v>12</v>
      </c>
      <c r="C12" s="7" t="s">
        <v>13</v>
      </c>
    </row>
    <row r="13" customFormat="false" ht="15" hidden="false" customHeight="true" outlineLevel="0" collapsed="false">
      <c r="B13" s="6" t="s">
        <v>14</v>
      </c>
      <c r="C13" s="7" t="s">
        <v>15</v>
      </c>
    </row>
    <row r="14" customFormat="false" ht="15" hidden="false" customHeight="true" outlineLevel="0" collapsed="false">
      <c r="B14" s="6" t="s">
        <v>16</v>
      </c>
      <c r="C14" s="7" t="s">
        <v>17</v>
      </c>
    </row>
    <row r="15" customFormat="false" ht="15" hidden="false" customHeight="true" outlineLevel="0" collapsed="false">
      <c r="B15" s="6"/>
      <c r="C15" s="7"/>
    </row>
    <row r="16" customFormat="false" ht="15" hidden="false" customHeight="true" outlineLevel="0" collapsed="false">
      <c r="B16" s="4" t="s">
        <v>18</v>
      </c>
      <c r="C16" s="5"/>
    </row>
    <row r="17" customFormat="false" ht="15" hidden="false" customHeight="true" outlineLevel="0" collapsed="false">
      <c r="B17" s="6" t="s">
        <v>19</v>
      </c>
      <c r="C17" s="7" t="s">
        <v>20</v>
      </c>
    </row>
    <row r="18" customFormat="false" ht="15" hidden="false" customHeight="true" outlineLevel="0" collapsed="false">
      <c r="B18" s="6" t="s">
        <v>21</v>
      </c>
      <c r="C18" s="7" t="s">
        <v>22</v>
      </c>
    </row>
    <row r="19" customFormat="false" ht="15" hidden="false" customHeight="true" outlineLevel="0" collapsed="false">
      <c r="B19" s="6"/>
      <c r="C19" s="7"/>
    </row>
    <row r="20" customFormat="false" ht="15" hidden="false" customHeight="true" outlineLevel="0" collapsed="false">
      <c r="B20" s="4" t="s">
        <v>23</v>
      </c>
      <c r="C20" s="5"/>
    </row>
    <row r="21" customFormat="false" ht="15" hidden="false" customHeight="true" outlineLevel="0" collapsed="false">
      <c r="B21" s="6" t="s">
        <v>24</v>
      </c>
      <c r="C21" s="7" t="s">
        <v>25</v>
      </c>
    </row>
    <row r="22" customFormat="false" ht="15" hidden="false" customHeight="true" outlineLevel="0" collapsed="false">
      <c r="B22" s="6" t="s">
        <v>26</v>
      </c>
      <c r="C22" s="7" t="s">
        <v>27</v>
      </c>
    </row>
    <row r="23" customFormat="false" ht="15" hidden="false" customHeight="true" outlineLevel="0" collapsed="false">
      <c r="B23" s="6" t="s">
        <v>28</v>
      </c>
      <c r="C23" s="7" t="s">
        <v>29</v>
      </c>
    </row>
    <row r="24" customFormat="false" ht="15" hidden="false" customHeight="true" outlineLevel="0" collapsed="false">
      <c r="B24" s="6"/>
      <c r="C24" s="7"/>
    </row>
    <row r="25" customFormat="false" ht="15" hidden="false" customHeight="true" outlineLevel="0" collapsed="false">
      <c r="B25" s="4" t="s">
        <v>30</v>
      </c>
      <c r="C25" s="5"/>
    </row>
    <row r="26" customFormat="false" ht="15" hidden="false" customHeight="true" outlineLevel="0" collapsed="false">
      <c r="B26" s="6" t="s">
        <v>31</v>
      </c>
      <c r="C26" s="8" t="s">
        <v>32</v>
      </c>
    </row>
    <row r="27" customFormat="false" ht="15" hidden="false" customHeight="true" outlineLevel="0" collapsed="false">
      <c r="B27" s="6" t="s">
        <v>33</v>
      </c>
      <c r="C27" s="7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8"/>
    <col collapsed="false" customWidth="true" hidden="false" outlineLevel="0" max="6" min="3" style="1" width="11"/>
    <col collapsed="false" customWidth="true" hidden="false" outlineLevel="0" max="7" min="7" style="1" width="20"/>
    <col collapsed="false" customWidth="true" hidden="false" outlineLevel="0" max="8" min="8" style="1" width="13"/>
    <col collapsed="false" customWidth="true" hidden="false" outlineLevel="0" max="9" min="9" style="1" width="11"/>
    <col collapsed="false" customWidth="true" hidden="false" outlineLevel="0" max="10" min="10" style="1" width="26"/>
  </cols>
  <sheetData>
    <row r="1" customFormat="false" ht="21.75" hidden="false" customHeight="true" outlineLevel="0" collapsed="false">
      <c r="A1" s="2" t="s">
        <v>35</v>
      </c>
    </row>
    <row r="2" customFormat="false" ht="16.5" hidden="false" customHeight="true" outlineLevel="0" collapsed="false">
      <c r="A2" s="9" t="s">
        <v>36</v>
      </c>
      <c r="B2" s="9" t="s">
        <v>37</v>
      </c>
      <c r="C2" s="9" t="s">
        <v>38</v>
      </c>
      <c r="D2" s="9" t="s">
        <v>39</v>
      </c>
      <c r="E2" s="9" t="s">
        <v>40</v>
      </c>
      <c r="F2" s="9" t="s">
        <v>41</v>
      </c>
      <c r="G2" s="9" t="s">
        <v>42</v>
      </c>
      <c r="H2" s="9" t="s">
        <v>43</v>
      </c>
      <c r="I2" s="9" t="s">
        <v>44</v>
      </c>
      <c r="J2" s="9" t="s">
        <v>45</v>
      </c>
    </row>
    <row r="3" customFormat="false" ht="15" hidden="false" customHeight="true" outlineLevel="0" collapsed="false">
      <c r="A3" s="10" t="s">
        <v>46</v>
      </c>
      <c r="B3" s="10"/>
      <c r="C3" s="10"/>
      <c r="D3" s="10"/>
      <c r="E3" s="10"/>
      <c r="F3" s="10"/>
      <c r="G3" s="10"/>
      <c r="H3" s="10"/>
      <c r="I3" s="10"/>
      <c r="J3" s="10"/>
    </row>
    <row r="4" customFormat="false" ht="15" hidden="false" customHeight="true" outlineLevel="0" collapsed="false">
      <c r="A4" s="11" t="s">
        <v>46</v>
      </c>
      <c r="B4" s="11" t="s">
        <v>47</v>
      </c>
      <c r="C4" s="12" t="n">
        <v>120</v>
      </c>
      <c r="D4" s="12" t="n">
        <v>23</v>
      </c>
      <c r="E4" s="12" t="n">
        <v>0</v>
      </c>
      <c r="F4" s="12" t="n">
        <v>2.6</v>
      </c>
      <c r="G4" s="13" t="s">
        <v>48</v>
      </c>
      <c r="H4" s="14" t="s">
        <v>49</v>
      </c>
      <c r="I4" s="14" t="s">
        <v>50</v>
      </c>
      <c r="J4" s="14"/>
    </row>
    <row r="5" customFormat="false" ht="15" hidden="false" customHeight="true" outlineLevel="0" collapsed="false">
      <c r="A5" s="11" t="s">
        <v>46</v>
      </c>
      <c r="B5" s="11" t="s">
        <v>51</v>
      </c>
      <c r="C5" s="12" t="n">
        <v>120</v>
      </c>
      <c r="D5" s="12" t="n">
        <v>20</v>
      </c>
      <c r="E5" s="12" t="n">
        <v>0</v>
      </c>
      <c r="F5" s="12" t="n">
        <v>4</v>
      </c>
      <c r="G5" s="14" t="s">
        <v>52</v>
      </c>
      <c r="H5" s="14" t="s">
        <v>49</v>
      </c>
      <c r="I5" s="14" t="s">
        <v>50</v>
      </c>
      <c r="J5" s="14"/>
    </row>
    <row r="6" customFormat="false" ht="15" hidden="false" customHeight="true" outlineLevel="0" collapsed="false">
      <c r="A6" s="11" t="s">
        <v>46</v>
      </c>
      <c r="B6" s="11" t="s">
        <v>53</v>
      </c>
      <c r="C6" s="12" t="n">
        <v>215</v>
      </c>
      <c r="D6" s="12" t="n">
        <v>18</v>
      </c>
      <c r="E6" s="12" t="n">
        <v>0</v>
      </c>
      <c r="F6" s="12" t="n">
        <v>15</v>
      </c>
      <c r="G6" s="14" t="s">
        <v>52</v>
      </c>
      <c r="H6" s="14" t="s">
        <v>49</v>
      </c>
      <c r="I6" s="14" t="s">
        <v>50</v>
      </c>
      <c r="J6" s="14" t="s">
        <v>54</v>
      </c>
    </row>
    <row r="7" customFormat="false" ht="15" hidden="false" customHeight="true" outlineLevel="0" collapsed="false">
      <c r="A7" s="11" t="s">
        <v>46</v>
      </c>
      <c r="B7" s="11" t="s">
        <v>55</v>
      </c>
      <c r="C7" s="12" t="n">
        <v>152</v>
      </c>
      <c r="D7" s="12" t="n">
        <v>21</v>
      </c>
      <c r="E7" s="12" t="n">
        <v>0</v>
      </c>
      <c r="F7" s="12" t="n">
        <v>7</v>
      </c>
      <c r="G7" s="13" t="s">
        <v>56</v>
      </c>
      <c r="H7" s="14" t="s">
        <v>49</v>
      </c>
      <c r="I7" s="14" t="s">
        <v>50</v>
      </c>
      <c r="J7" s="14" t="s">
        <v>57</v>
      </c>
    </row>
    <row r="8" customFormat="false" ht="29.25" hidden="false" customHeight="true" outlineLevel="0" collapsed="false">
      <c r="A8" s="11" t="s">
        <v>46</v>
      </c>
      <c r="B8" s="11" t="s">
        <v>58</v>
      </c>
      <c r="C8" s="12" t="n">
        <v>250</v>
      </c>
      <c r="D8" s="12" t="n">
        <v>18</v>
      </c>
      <c r="E8" s="12" t="n">
        <v>0</v>
      </c>
      <c r="F8" s="12" t="n">
        <v>20</v>
      </c>
      <c r="G8" s="14" t="s">
        <v>52</v>
      </c>
      <c r="H8" s="14" t="s">
        <v>49</v>
      </c>
      <c r="I8" s="14" t="s">
        <v>50</v>
      </c>
      <c r="J8" s="14" t="s">
        <v>59</v>
      </c>
    </row>
    <row r="9" customFormat="false" ht="15" hidden="false" customHeight="true" outlineLevel="0" collapsed="false">
      <c r="A9" s="11" t="s">
        <v>46</v>
      </c>
      <c r="B9" s="11" t="s">
        <v>60</v>
      </c>
      <c r="C9" s="12" t="n">
        <v>150</v>
      </c>
      <c r="D9" s="12" t="n">
        <v>20</v>
      </c>
      <c r="E9" s="12" t="n">
        <v>0</v>
      </c>
      <c r="F9" s="12" t="n">
        <v>7</v>
      </c>
      <c r="G9" s="14" t="s">
        <v>52</v>
      </c>
      <c r="H9" s="14" t="s">
        <v>49</v>
      </c>
      <c r="I9" s="14" t="s">
        <v>50</v>
      </c>
      <c r="J9" s="14" t="s">
        <v>61</v>
      </c>
    </row>
    <row r="10" customFormat="false" ht="15" hidden="false" customHeight="true" outlineLevel="0" collapsed="false">
      <c r="A10" s="11" t="s">
        <v>46</v>
      </c>
      <c r="B10" s="11" t="s">
        <v>62</v>
      </c>
      <c r="C10" s="12" t="n">
        <v>208</v>
      </c>
      <c r="D10" s="12" t="n">
        <v>20</v>
      </c>
      <c r="E10" s="12" t="n">
        <v>0</v>
      </c>
      <c r="F10" s="12" t="n">
        <v>13</v>
      </c>
      <c r="G10" s="13" t="s">
        <v>63</v>
      </c>
      <c r="H10" s="14" t="s">
        <v>49</v>
      </c>
      <c r="I10" s="14" t="s">
        <v>50</v>
      </c>
      <c r="J10" s="14"/>
    </row>
    <row r="11" customFormat="false" ht="15" hidden="false" customHeight="true" outlineLevel="0" collapsed="false">
      <c r="A11" s="11" t="s">
        <v>46</v>
      </c>
      <c r="B11" s="11" t="s">
        <v>64</v>
      </c>
      <c r="C11" s="12" t="n">
        <v>85</v>
      </c>
      <c r="D11" s="12" t="n">
        <v>20</v>
      </c>
      <c r="E11" s="12" t="n">
        <v>0</v>
      </c>
      <c r="F11" s="12" t="n">
        <v>0.5</v>
      </c>
      <c r="G11" s="14" t="s">
        <v>65</v>
      </c>
      <c r="H11" s="14" t="s">
        <v>49</v>
      </c>
      <c r="I11" s="14" t="s">
        <v>50</v>
      </c>
      <c r="J11" s="14"/>
    </row>
    <row r="12" customFormat="false" ht="15" hidden="false" customHeight="true" outlineLevel="0" collapsed="false">
      <c r="A12" s="11" t="s">
        <v>46</v>
      </c>
      <c r="B12" s="11" t="s">
        <v>66</v>
      </c>
      <c r="C12" s="12" t="n">
        <v>90</v>
      </c>
      <c r="D12" s="12" t="n">
        <v>20</v>
      </c>
      <c r="E12" s="12" t="n">
        <v>0</v>
      </c>
      <c r="F12" s="12" t="n">
        <v>1</v>
      </c>
      <c r="G12" s="13" t="s">
        <v>67</v>
      </c>
      <c r="H12" s="14" t="s">
        <v>49</v>
      </c>
      <c r="I12" s="14" t="s">
        <v>50</v>
      </c>
      <c r="J12" s="14"/>
    </row>
    <row r="13" customFormat="false" ht="15" hidden="false" customHeight="true" outlineLevel="0" collapsed="false">
      <c r="A13" s="11" t="s">
        <v>46</v>
      </c>
      <c r="B13" s="11" t="s">
        <v>68</v>
      </c>
      <c r="C13" s="15" t="n">
        <v>127</v>
      </c>
      <c r="D13" s="15" t="n">
        <v>23.2</v>
      </c>
      <c r="E13" s="15" t="n">
        <v>0</v>
      </c>
      <c r="F13" s="15" t="n">
        <v>3.5</v>
      </c>
      <c r="G13" s="13" t="s">
        <v>69</v>
      </c>
      <c r="H13" s="14" t="s">
        <v>70</v>
      </c>
      <c r="I13" s="14" t="s">
        <v>50</v>
      </c>
      <c r="J13" s="14" t="s">
        <v>71</v>
      </c>
    </row>
    <row r="14" customFormat="false" ht="15" hidden="false" customHeight="true" outlineLevel="0" collapsed="false">
      <c r="A14" s="11" t="s">
        <v>46</v>
      </c>
      <c r="B14" s="11" t="s">
        <v>72</v>
      </c>
      <c r="C14" s="12" t="n">
        <v>144</v>
      </c>
      <c r="D14" s="12" t="n">
        <v>12.6</v>
      </c>
      <c r="E14" s="12" t="n">
        <v>0.8</v>
      </c>
      <c r="F14" s="12" t="n">
        <v>9.6</v>
      </c>
      <c r="G14" s="13" t="s">
        <v>73</v>
      </c>
      <c r="H14" s="14" t="s">
        <v>74</v>
      </c>
      <c r="I14" s="14" t="s">
        <v>50</v>
      </c>
      <c r="J14" s="14" t="s">
        <v>75</v>
      </c>
    </row>
    <row r="15" customFormat="false" ht="15" hidden="false" customHeight="true" outlineLevel="0" collapsed="false">
      <c r="A15" s="11" t="s">
        <v>46</v>
      </c>
      <c r="B15" s="11" t="s">
        <v>76</v>
      </c>
      <c r="C15" s="12" t="n">
        <v>80</v>
      </c>
      <c r="D15" s="12" t="n">
        <v>9</v>
      </c>
      <c r="E15" s="12" t="n">
        <v>2</v>
      </c>
      <c r="F15" s="12" t="n">
        <v>4.5</v>
      </c>
      <c r="G15" s="13" t="s">
        <v>77</v>
      </c>
      <c r="H15" s="14" t="s">
        <v>78</v>
      </c>
      <c r="I15" s="14" t="s">
        <v>79</v>
      </c>
      <c r="J15" s="14" t="s">
        <v>80</v>
      </c>
    </row>
    <row r="16" customFormat="false" ht="15" hidden="false" customHeight="true" outlineLevel="0" collapsed="false">
      <c r="A16" s="11" t="s">
        <v>46</v>
      </c>
      <c r="B16" s="11" t="s">
        <v>81</v>
      </c>
      <c r="C16" s="12" t="n">
        <v>55</v>
      </c>
      <c r="D16" s="12" t="n">
        <v>5</v>
      </c>
      <c r="E16" s="12" t="n">
        <v>2</v>
      </c>
      <c r="F16" s="12" t="n">
        <v>2.5</v>
      </c>
      <c r="G16" s="13" t="s">
        <v>77</v>
      </c>
      <c r="H16" s="14" t="s">
        <v>78</v>
      </c>
      <c r="I16" s="14" t="s">
        <v>79</v>
      </c>
      <c r="J16" s="14"/>
    </row>
    <row r="17" customFormat="false" ht="15" hidden="false" customHeight="true" outlineLevel="0" collapsed="false">
      <c r="A17" s="11" t="s">
        <v>46</v>
      </c>
      <c r="B17" s="11" t="s">
        <v>82</v>
      </c>
      <c r="C17" s="12" t="n">
        <v>59</v>
      </c>
      <c r="D17" s="12" t="n">
        <v>10</v>
      </c>
      <c r="E17" s="12" t="n">
        <v>3.6</v>
      </c>
      <c r="F17" s="12" t="n">
        <v>0</v>
      </c>
      <c r="G17" s="13" t="s">
        <v>83</v>
      </c>
      <c r="H17" s="14" t="s">
        <v>84</v>
      </c>
      <c r="I17" s="14" t="s">
        <v>50</v>
      </c>
      <c r="J17" s="14" t="s">
        <v>85</v>
      </c>
    </row>
    <row r="18" customFormat="false" ht="15" hidden="false" customHeight="true" outlineLevel="0" collapsed="false">
      <c r="A18" s="11" t="s">
        <v>46</v>
      </c>
      <c r="B18" s="11" t="s">
        <v>86</v>
      </c>
      <c r="C18" s="12" t="n">
        <v>38</v>
      </c>
      <c r="D18" s="12" t="n">
        <v>3.3</v>
      </c>
      <c r="E18" s="12" t="n">
        <v>1.2</v>
      </c>
      <c r="F18" s="12" t="n">
        <v>1.8</v>
      </c>
      <c r="G18" s="13" t="s">
        <v>87</v>
      </c>
      <c r="H18" s="14" t="s">
        <v>88</v>
      </c>
      <c r="I18" s="14" t="s">
        <v>50</v>
      </c>
      <c r="J18" s="14"/>
    </row>
    <row r="19" customFormat="false" ht="15" hidden="false" customHeight="true" outlineLevel="0" collapsed="false">
      <c r="A19" s="11" t="s">
        <v>46</v>
      </c>
      <c r="B19" s="11" t="s">
        <v>89</v>
      </c>
      <c r="C19" s="12" t="n">
        <v>50</v>
      </c>
      <c r="D19" s="12" t="n">
        <v>3.4</v>
      </c>
      <c r="E19" s="12" t="n">
        <v>4.8</v>
      </c>
      <c r="F19" s="12" t="n">
        <v>2</v>
      </c>
      <c r="G19" s="13" t="s">
        <v>90</v>
      </c>
      <c r="H19" s="14" t="s">
        <v>91</v>
      </c>
      <c r="I19" s="14" t="s">
        <v>50</v>
      </c>
      <c r="J19" s="14" t="s">
        <v>92</v>
      </c>
    </row>
    <row r="20" customFormat="false" ht="15" hidden="false" customHeight="true" outlineLevel="0" collapsed="false">
      <c r="A20" s="10" t="s">
        <v>93</v>
      </c>
      <c r="B20" s="10"/>
      <c r="C20" s="10"/>
      <c r="D20" s="10"/>
      <c r="E20" s="10"/>
      <c r="F20" s="10"/>
      <c r="G20" s="10"/>
      <c r="H20" s="10"/>
      <c r="I20" s="10"/>
      <c r="J20" s="10"/>
    </row>
    <row r="21" customFormat="false" ht="15" hidden="false" customHeight="true" outlineLevel="0" collapsed="false">
      <c r="A21" s="11" t="s">
        <v>93</v>
      </c>
      <c r="B21" s="11" t="s">
        <v>94</v>
      </c>
      <c r="C21" s="12" t="n">
        <v>130</v>
      </c>
      <c r="D21" s="12" t="n">
        <v>2.7</v>
      </c>
      <c r="E21" s="12" t="n">
        <v>28</v>
      </c>
      <c r="F21" s="12" t="n">
        <v>0.3</v>
      </c>
      <c r="G21" s="14" t="s">
        <v>95</v>
      </c>
      <c r="H21" s="14" t="s">
        <v>96</v>
      </c>
      <c r="I21" s="14" t="s">
        <v>50</v>
      </c>
      <c r="J21" s="13" t="s">
        <v>97</v>
      </c>
    </row>
    <row r="22" customFormat="false" ht="15" hidden="false" customHeight="true" outlineLevel="0" collapsed="false">
      <c r="A22" s="11" t="s">
        <v>93</v>
      </c>
      <c r="B22" s="11" t="s">
        <v>98</v>
      </c>
      <c r="C22" s="12" t="n">
        <v>123</v>
      </c>
      <c r="D22" s="12" t="n">
        <v>2.7</v>
      </c>
      <c r="E22" s="12" t="n">
        <v>26</v>
      </c>
      <c r="F22" s="12" t="n">
        <v>1</v>
      </c>
      <c r="G22" s="14" t="s">
        <v>99</v>
      </c>
      <c r="H22" s="14" t="s">
        <v>100</v>
      </c>
      <c r="I22" s="14" t="s">
        <v>50</v>
      </c>
      <c r="J22" s="14"/>
    </row>
    <row r="23" customFormat="false" ht="15" hidden="false" customHeight="true" outlineLevel="0" collapsed="false">
      <c r="A23" s="11" t="s">
        <v>93</v>
      </c>
      <c r="B23" s="11" t="s">
        <v>101</v>
      </c>
      <c r="C23" s="12" t="n">
        <v>130</v>
      </c>
      <c r="D23" s="12" t="n">
        <v>3.5</v>
      </c>
      <c r="E23" s="12" t="n">
        <v>28</v>
      </c>
      <c r="F23" s="12" t="n">
        <v>1</v>
      </c>
      <c r="G23" s="14" t="s">
        <v>99</v>
      </c>
      <c r="H23" s="14" t="s">
        <v>100</v>
      </c>
      <c r="I23" s="14" t="s">
        <v>50</v>
      </c>
      <c r="J23" s="14"/>
    </row>
    <row r="24" customFormat="false" ht="15" hidden="false" customHeight="true" outlineLevel="0" collapsed="false">
      <c r="A24" s="11" t="s">
        <v>93</v>
      </c>
      <c r="B24" s="11" t="s">
        <v>102</v>
      </c>
      <c r="C24" s="12" t="n">
        <v>90</v>
      </c>
      <c r="D24" s="12" t="n">
        <v>2</v>
      </c>
      <c r="E24" s="12" t="n">
        <v>21</v>
      </c>
      <c r="F24" s="12" t="n">
        <v>0.1</v>
      </c>
      <c r="G24" s="14" t="s">
        <v>103</v>
      </c>
      <c r="H24" s="14" t="s">
        <v>104</v>
      </c>
      <c r="I24" s="14" t="s">
        <v>105</v>
      </c>
      <c r="J24" s="14"/>
    </row>
    <row r="25" customFormat="false" ht="15" hidden="false" customHeight="true" outlineLevel="0" collapsed="false">
      <c r="A25" s="11" t="s">
        <v>93</v>
      </c>
      <c r="B25" s="11" t="s">
        <v>106</v>
      </c>
      <c r="C25" s="12" t="n">
        <v>90</v>
      </c>
      <c r="D25" s="12" t="n">
        <v>2</v>
      </c>
      <c r="E25" s="12" t="n">
        <v>21</v>
      </c>
      <c r="F25" s="12" t="n">
        <v>0.1</v>
      </c>
      <c r="G25" s="14" t="s">
        <v>103</v>
      </c>
      <c r="H25" s="14" t="s">
        <v>104</v>
      </c>
      <c r="I25" s="14" t="s">
        <v>105</v>
      </c>
      <c r="J25" s="14"/>
    </row>
    <row r="26" customFormat="false" ht="15" hidden="false" customHeight="true" outlineLevel="0" collapsed="false">
      <c r="A26" s="11" t="s">
        <v>93</v>
      </c>
      <c r="B26" s="11" t="s">
        <v>107</v>
      </c>
      <c r="C26" s="12" t="n">
        <v>50</v>
      </c>
      <c r="D26" s="12" t="n">
        <v>1.8</v>
      </c>
      <c r="E26" s="12" t="n">
        <v>12</v>
      </c>
      <c r="F26" s="12" t="n">
        <v>0.1</v>
      </c>
      <c r="G26" s="14" t="s">
        <v>108</v>
      </c>
      <c r="H26" s="14" t="s">
        <v>109</v>
      </c>
      <c r="I26" s="14" t="s">
        <v>105</v>
      </c>
      <c r="J26" s="14" t="s">
        <v>110</v>
      </c>
    </row>
    <row r="27" customFormat="false" ht="15" hidden="false" customHeight="true" outlineLevel="0" collapsed="false">
      <c r="A27" s="11" t="s">
        <v>93</v>
      </c>
      <c r="B27" s="11" t="s">
        <v>111</v>
      </c>
      <c r="C27" s="12" t="n">
        <v>380</v>
      </c>
      <c r="D27" s="12" t="n">
        <v>13</v>
      </c>
      <c r="E27" s="12" t="n">
        <v>67</v>
      </c>
      <c r="F27" s="12" t="n">
        <v>7</v>
      </c>
      <c r="G27" s="14" t="s">
        <v>112</v>
      </c>
      <c r="H27" s="14" t="s">
        <v>70</v>
      </c>
      <c r="I27" s="14" t="s">
        <v>50</v>
      </c>
      <c r="J27" s="14" t="s">
        <v>113</v>
      </c>
    </row>
    <row r="28" customFormat="false" ht="15" hidden="false" customHeight="true" outlineLevel="0" collapsed="false">
      <c r="A28" s="11" t="s">
        <v>93</v>
      </c>
      <c r="B28" s="11" t="s">
        <v>114</v>
      </c>
      <c r="C28" s="12" t="n">
        <v>268</v>
      </c>
      <c r="D28" s="12" t="n">
        <v>14</v>
      </c>
      <c r="E28" s="12" t="n">
        <v>46</v>
      </c>
      <c r="F28" s="12" t="n">
        <v>3.6</v>
      </c>
      <c r="G28" s="13" t="s">
        <v>115</v>
      </c>
      <c r="H28" s="14" t="s">
        <v>91</v>
      </c>
      <c r="I28" s="14" t="s">
        <v>79</v>
      </c>
      <c r="J28" s="14" t="s">
        <v>116</v>
      </c>
    </row>
    <row r="29" customFormat="false" ht="15" hidden="false" customHeight="true" outlineLevel="0" collapsed="false">
      <c r="A29" s="11" t="s">
        <v>93</v>
      </c>
      <c r="B29" s="11" t="s">
        <v>117</v>
      </c>
      <c r="C29" s="12" t="n">
        <v>275</v>
      </c>
      <c r="D29" s="12" t="n">
        <v>10</v>
      </c>
      <c r="E29" s="12" t="n">
        <v>55</v>
      </c>
      <c r="F29" s="12" t="n">
        <v>2.5</v>
      </c>
      <c r="G29" s="14" t="s">
        <v>99</v>
      </c>
      <c r="H29" s="14" t="s">
        <v>118</v>
      </c>
      <c r="I29" s="14" t="s">
        <v>105</v>
      </c>
      <c r="J29" s="14" t="s">
        <v>119</v>
      </c>
    </row>
    <row r="30" customFormat="false" ht="15" hidden="false" customHeight="true" outlineLevel="0" collapsed="false">
      <c r="A30" s="11" t="s">
        <v>93</v>
      </c>
      <c r="B30" s="11" t="s">
        <v>120</v>
      </c>
      <c r="C30" s="12" t="n">
        <v>130</v>
      </c>
      <c r="D30" s="12" t="n">
        <v>3</v>
      </c>
      <c r="E30" s="12" t="n">
        <v>27</v>
      </c>
      <c r="F30" s="12" t="n">
        <v>0.5</v>
      </c>
      <c r="G30" s="14" t="s">
        <v>121</v>
      </c>
      <c r="H30" s="14" t="s">
        <v>84</v>
      </c>
      <c r="I30" s="14" t="s">
        <v>50</v>
      </c>
      <c r="J30" s="14"/>
    </row>
    <row r="31" customFormat="false" ht="15" hidden="false" customHeight="true" outlineLevel="0" collapsed="false">
      <c r="A31" s="11" t="s">
        <v>93</v>
      </c>
      <c r="B31" s="11" t="s">
        <v>122</v>
      </c>
      <c r="C31" s="12" t="n">
        <v>360</v>
      </c>
      <c r="D31" s="12" t="n">
        <v>13</v>
      </c>
      <c r="E31" s="12" t="n">
        <v>72</v>
      </c>
      <c r="F31" s="12" t="n">
        <v>1.5</v>
      </c>
      <c r="G31" s="13" t="s">
        <v>123</v>
      </c>
      <c r="H31" s="14" t="s">
        <v>70</v>
      </c>
      <c r="I31" s="14" t="s">
        <v>50</v>
      </c>
      <c r="J31" s="14" t="s">
        <v>124</v>
      </c>
    </row>
    <row r="32" customFormat="false" ht="15" hidden="false" customHeight="true" outlineLevel="0" collapsed="false">
      <c r="A32" s="11" t="s">
        <v>93</v>
      </c>
      <c r="B32" s="11" t="s">
        <v>125</v>
      </c>
      <c r="C32" s="12" t="n">
        <v>96</v>
      </c>
      <c r="D32" s="12" t="n">
        <v>3.4</v>
      </c>
      <c r="E32" s="12" t="n">
        <v>21</v>
      </c>
      <c r="F32" s="12" t="n">
        <v>1.5</v>
      </c>
      <c r="G32" s="14" t="s">
        <v>126</v>
      </c>
      <c r="H32" s="14" t="s">
        <v>84</v>
      </c>
      <c r="I32" s="14" t="s">
        <v>105</v>
      </c>
      <c r="J32" s="14"/>
    </row>
    <row r="33" customFormat="false" ht="15" hidden="false" customHeight="true" outlineLevel="0" collapsed="false">
      <c r="A33" s="10" t="s">
        <v>127</v>
      </c>
      <c r="B33" s="10"/>
      <c r="C33" s="10"/>
      <c r="D33" s="10"/>
      <c r="E33" s="10"/>
      <c r="F33" s="10"/>
      <c r="G33" s="10"/>
      <c r="H33" s="10"/>
      <c r="I33" s="10"/>
      <c r="J33" s="10"/>
    </row>
    <row r="34" customFormat="false" ht="15" hidden="false" customHeight="true" outlineLevel="0" collapsed="false">
      <c r="A34" s="11" t="s">
        <v>127</v>
      </c>
      <c r="B34" s="11" t="s">
        <v>128</v>
      </c>
      <c r="C34" s="12" t="n">
        <v>160</v>
      </c>
      <c r="D34" s="12" t="n">
        <v>2</v>
      </c>
      <c r="E34" s="12" t="n">
        <v>9</v>
      </c>
      <c r="F34" s="12" t="n">
        <v>15</v>
      </c>
      <c r="G34" s="14" t="s">
        <v>129</v>
      </c>
      <c r="H34" s="14" t="s">
        <v>130</v>
      </c>
      <c r="I34" s="14" t="s">
        <v>79</v>
      </c>
      <c r="J34" s="14" t="s">
        <v>131</v>
      </c>
    </row>
    <row r="35" customFormat="false" ht="15" hidden="false" customHeight="true" outlineLevel="0" collapsed="false">
      <c r="A35" s="11" t="s">
        <v>127</v>
      </c>
      <c r="B35" s="11" t="s">
        <v>132</v>
      </c>
      <c r="C35" s="12" t="n">
        <v>600</v>
      </c>
      <c r="D35" s="12" t="n">
        <v>20</v>
      </c>
      <c r="E35" s="12" t="n">
        <v>20</v>
      </c>
      <c r="F35" s="12" t="n">
        <v>50</v>
      </c>
      <c r="G35" s="14" t="s">
        <v>133</v>
      </c>
      <c r="H35" s="14" t="s">
        <v>70</v>
      </c>
      <c r="I35" s="14" t="s">
        <v>50</v>
      </c>
      <c r="J35" s="14" t="s">
        <v>134</v>
      </c>
    </row>
    <row r="36" customFormat="false" ht="15" hidden="false" customHeight="true" outlineLevel="0" collapsed="false">
      <c r="A36" s="11" t="s">
        <v>127</v>
      </c>
      <c r="B36" s="11" t="s">
        <v>135</v>
      </c>
      <c r="C36" s="12" t="n">
        <v>884</v>
      </c>
      <c r="D36" s="12" t="n">
        <v>0</v>
      </c>
      <c r="E36" s="12" t="n">
        <v>0</v>
      </c>
      <c r="F36" s="12" t="n">
        <v>100</v>
      </c>
      <c r="G36" s="14" t="s">
        <v>136</v>
      </c>
      <c r="H36" s="14" t="s">
        <v>70</v>
      </c>
      <c r="I36" s="14" t="s">
        <v>50</v>
      </c>
      <c r="J36" s="13" t="s">
        <v>137</v>
      </c>
    </row>
    <row r="37" customFormat="false" ht="15" hidden="false" customHeight="true" outlineLevel="0" collapsed="false">
      <c r="A37" s="11" t="s">
        <v>127</v>
      </c>
      <c r="B37" s="11" t="s">
        <v>138</v>
      </c>
      <c r="C37" s="12" t="n">
        <v>884</v>
      </c>
      <c r="D37" s="12" t="n">
        <v>0</v>
      </c>
      <c r="E37" s="12" t="n">
        <v>0</v>
      </c>
      <c r="F37" s="12" t="n">
        <v>100</v>
      </c>
      <c r="G37" s="14" t="s">
        <v>139</v>
      </c>
      <c r="H37" s="14" t="s">
        <v>70</v>
      </c>
      <c r="I37" s="14" t="s">
        <v>50</v>
      </c>
      <c r="J37" s="14" t="s">
        <v>140</v>
      </c>
    </row>
    <row r="38" customFormat="false" ht="15" hidden="false" customHeight="true" outlineLevel="0" collapsed="false">
      <c r="A38" s="11" t="s">
        <v>127</v>
      </c>
      <c r="B38" s="11" t="s">
        <v>141</v>
      </c>
      <c r="C38" s="12" t="n">
        <v>600</v>
      </c>
      <c r="D38" s="12" t="n">
        <v>8</v>
      </c>
      <c r="E38" s="12" t="n">
        <v>30</v>
      </c>
      <c r="F38" s="12" t="n">
        <v>50</v>
      </c>
      <c r="G38" s="14" t="s">
        <v>142</v>
      </c>
      <c r="H38" s="14" t="s">
        <v>70</v>
      </c>
      <c r="I38" s="14" t="s">
        <v>50</v>
      </c>
      <c r="J38" s="14" t="s">
        <v>143</v>
      </c>
    </row>
    <row r="39" customFormat="false" ht="15" hidden="false" customHeight="true" outlineLevel="0" collapsed="false">
      <c r="A39" s="10" t="s">
        <v>144</v>
      </c>
      <c r="B39" s="10"/>
      <c r="C39" s="10"/>
      <c r="D39" s="10"/>
      <c r="E39" s="10"/>
      <c r="F39" s="10"/>
      <c r="G39" s="10"/>
      <c r="H39" s="10"/>
      <c r="I39" s="10"/>
      <c r="J39" s="10"/>
    </row>
    <row r="40" customFormat="false" ht="15" hidden="false" customHeight="true" outlineLevel="0" collapsed="false">
      <c r="A40" s="11" t="s">
        <v>145</v>
      </c>
      <c r="B40" s="11" t="s">
        <v>146</v>
      </c>
      <c r="C40" s="12" t="n">
        <v>34</v>
      </c>
      <c r="D40" s="12" t="n">
        <v>2.8</v>
      </c>
      <c r="E40" s="12" t="n">
        <v>7</v>
      </c>
      <c r="F40" s="12" t="n">
        <v>0.4</v>
      </c>
      <c r="G40" s="14" t="s">
        <v>147</v>
      </c>
      <c r="H40" s="14" t="s">
        <v>91</v>
      </c>
      <c r="I40" s="14" t="s">
        <v>79</v>
      </c>
      <c r="J40" s="14"/>
    </row>
    <row r="41" customFormat="false" ht="15" hidden="false" customHeight="true" outlineLevel="0" collapsed="false">
      <c r="A41" s="11" t="s">
        <v>145</v>
      </c>
      <c r="B41" s="11" t="s">
        <v>148</v>
      </c>
      <c r="C41" s="12" t="n">
        <v>15</v>
      </c>
      <c r="D41" s="12" t="n">
        <v>1.4</v>
      </c>
      <c r="E41" s="12" t="n">
        <v>2.9</v>
      </c>
      <c r="F41" s="12" t="n">
        <v>0.2</v>
      </c>
      <c r="G41" s="14" t="s">
        <v>147</v>
      </c>
      <c r="H41" s="14" t="s">
        <v>91</v>
      </c>
      <c r="I41" s="14" t="s">
        <v>79</v>
      </c>
      <c r="J41" s="14"/>
    </row>
    <row r="42" customFormat="false" ht="15" hidden="false" customHeight="true" outlineLevel="0" collapsed="false">
      <c r="A42" s="11" t="s">
        <v>145</v>
      </c>
      <c r="B42" s="11" t="s">
        <v>149</v>
      </c>
      <c r="C42" s="12" t="n">
        <v>23</v>
      </c>
      <c r="D42" s="12" t="n">
        <v>2.9</v>
      </c>
      <c r="E42" s="12" t="n">
        <v>3.6</v>
      </c>
      <c r="F42" s="12" t="n">
        <v>0.4</v>
      </c>
      <c r="G42" s="14" t="s">
        <v>99</v>
      </c>
      <c r="H42" s="14" t="s">
        <v>150</v>
      </c>
      <c r="I42" s="14" t="s">
        <v>79</v>
      </c>
      <c r="J42" s="14"/>
    </row>
    <row r="43" customFormat="false" ht="15" hidden="false" customHeight="true" outlineLevel="0" collapsed="false">
      <c r="A43" s="11" t="s">
        <v>145</v>
      </c>
      <c r="B43" s="11" t="s">
        <v>151</v>
      </c>
      <c r="C43" s="12" t="n">
        <v>25</v>
      </c>
      <c r="D43" s="12" t="n">
        <v>2.6</v>
      </c>
      <c r="E43" s="12" t="n">
        <v>3.7</v>
      </c>
      <c r="F43" s="12" t="n">
        <v>0.7</v>
      </c>
      <c r="G43" s="14" t="s">
        <v>152</v>
      </c>
      <c r="H43" s="14" t="s">
        <v>150</v>
      </c>
      <c r="I43" s="14" t="s">
        <v>79</v>
      </c>
      <c r="J43" s="14"/>
    </row>
    <row r="44" customFormat="false" ht="15" hidden="false" customHeight="true" outlineLevel="0" collapsed="false">
      <c r="A44" s="11" t="s">
        <v>145</v>
      </c>
      <c r="B44" s="11" t="s">
        <v>153</v>
      </c>
      <c r="C44" s="12" t="n">
        <v>41</v>
      </c>
      <c r="D44" s="12" t="n">
        <v>0.9</v>
      </c>
      <c r="E44" s="12" t="n">
        <v>10</v>
      </c>
      <c r="F44" s="12" t="n">
        <v>0.2</v>
      </c>
      <c r="G44" s="14" t="s">
        <v>99</v>
      </c>
      <c r="H44" s="14" t="s">
        <v>74</v>
      </c>
      <c r="I44" s="14" t="s">
        <v>105</v>
      </c>
      <c r="J44" s="14"/>
    </row>
    <row r="45" customFormat="false" ht="15" hidden="false" customHeight="true" outlineLevel="0" collapsed="false">
      <c r="A45" s="11" t="s">
        <v>145</v>
      </c>
      <c r="B45" s="11" t="s">
        <v>154</v>
      </c>
      <c r="C45" s="12" t="n">
        <v>15</v>
      </c>
      <c r="D45" s="12" t="n">
        <v>0.7</v>
      </c>
      <c r="E45" s="12" t="n">
        <v>3.6</v>
      </c>
      <c r="F45" s="12" t="n">
        <v>0.1</v>
      </c>
      <c r="G45" s="14" t="s">
        <v>129</v>
      </c>
      <c r="H45" s="14" t="s">
        <v>91</v>
      </c>
      <c r="I45" s="14" t="s">
        <v>79</v>
      </c>
      <c r="J45" s="14"/>
    </row>
    <row r="46" customFormat="false" ht="15" hidden="false" customHeight="true" outlineLevel="0" collapsed="false">
      <c r="A46" s="11" t="s">
        <v>145</v>
      </c>
      <c r="B46" s="11" t="s">
        <v>155</v>
      </c>
      <c r="C46" s="12" t="n">
        <v>31</v>
      </c>
      <c r="D46" s="12" t="n">
        <v>1</v>
      </c>
      <c r="E46" s="12" t="n">
        <v>6</v>
      </c>
      <c r="F46" s="12" t="n">
        <v>0.3</v>
      </c>
      <c r="G46" s="14" t="s">
        <v>129</v>
      </c>
      <c r="H46" s="14" t="s">
        <v>156</v>
      </c>
      <c r="I46" s="14" t="s">
        <v>79</v>
      </c>
      <c r="J46" s="14"/>
    </row>
    <row r="47" customFormat="false" ht="15" hidden="false" customHeight="true" outlineLevel="0" collapsed="false">
      <c r="A47" s="11" t="s">
        <v>145</v>
      </c>
      <c r="B47" s="11" t="s">
        <v>157</v>
      </c>
      <c r="C47" s="12" t="n">
        <v>18</v>
      </c>
      <c r="D47" s="12" t="n">
        <v>0.9</v>
      </c>
      <c r="E47" s="12" t="n">
        <v>3.9</v>
      </c>
      <c r="F47" s="12" t="n">
        <v>0.2</v>
      </c>
      <c r="G47" s="14" t="s">
        <v>129</v>
      </c>
      <c r="H47" s="14" t="s">
        <v>158</v>
      </c>
      <c r="I47" s="14" t="s">
        <v>79</v>
      </c>
      <c r="J47" s="14"/>
    </row>
    <row r="48" customFormat="false" ht="15" hidden="false" customHeight="true" outlineLevel="0" collapsed="false">
      <c r="A48" s="11" t="s">
        <v>145</v>
      </c>
      <c r="B48" s="11" t="s">
        <v>159</v>
      </c>
      <c r="C48" s="12" t="n">
        <v>25</v>
      </c>
      <c r="D48" s="12" t="n">
        <v>1.3</v>
      </c>
      <c r="E48" s="12" t="n">
        <v>6</v>
      </c>
      <c r="F48" s="12" t="n">
        <v>0.1</v>
      </c>
      <c r="G48" s="14" t="s">
        <v>160</v>
      </c>
      <c r="H48" s="14" t="s">
        <v>161</v>
      </c>
      <c r="I48" s="14" t="s">
        <v>105</v>
      </c>
      <c r="J48" s="14"/>
    </row>
    <row r="49" customFormat="false" ht="15" hidden="false" customHeight="true" outlineLevel="0" collapsed="false">
      <c r="A49" s="11" t="s">
        <v>145</v>
      </c>
      <c r="B49" s="11" t="s">
        <v>162</v>
      </c>
      <c r="C49" s="12" t="n">
        <v>30</v>
      </c>
      <c r="D49" s="12" t="n">
        <v>1.6</v>
      </c>
      <c r="E49" s="12" t="n">
        <v>6</v>
      </c>
      <c r="F49" s="12" t="n">
        <v>0.5</v>
      </c>
      <c r="G49" s="14" t="s">
        <v>163</v>
      </c>
      <c r="H49" s="14" t="s">
        <v>88</v>
      </c>
      <c r="I49" s="14" t="s">
        <v>50</v>
      </c>
      <c r="J49" s="14" t="s">
        <v>164</v>
      </c>
    </row>
    <row r="50" customFormat="false" ht="15" hidden="false" customHeight="true" outlineLevel="0" collapsed="false">
      <c r="A50" s="11" t="s">
        <v>145</v>
      </c>
      <c r="B50" s="11" t="s">
        <v>165</v>
      </c>
      <c r="C50" s="12" t="n">
        <v>18</v>
      </c>
      <c r="D50" s="12" t="n">
        <v>0.6</v>
      </c>
      <c r="E50" s="12" t="n">
        <v>4</v>
      </c>
      <c r="F50" s="12" t="n">
        <v>0.1</v>
      </c>
      <c r="G50" s="14" t="s">
        <v>166</v>
      </c>
      <c r="H50" s="14" t="s">
        <v>161</v>
      </c>
      <c r="I50" s="14" t="s">
        <v>105</v>
      </c>
      <c r="J50" s="14"/>
    </row>
    <row r="51" customFormat="false" ht="15" hidden="false" customHeight="true" outlineLevel="0" collapsed="false">
      <c r="A51" s="11" t="s">
        <v>145</v>
      </c>
      <c r="B51" s="11" t="s">
        <v>167</v>
      </c>
      <c r="C51" s="12" t="n">
        <v>40</v>
      </c>
      <c r="D51" s="12" t="n">
        <v>1.1</v>
      </c>
      <c r="E51" s="12" t="n">
        <v>9</v>
      </c>
      <c r="F51" s="12" t="n">
        <v>0.1</v>
      </c>
      <c r="G51" s="14" t="s">
        <v>99</v>
      </c>
      <c r="H51" s="14" t="s">
        <v>70</v>
      </c>
      <c r="I51" s="14" t="s">
        <v>50</v>
      </c>
      <c r="J51" s="14"/>
    </row>
    <row r="52" customFormat="false" ht="15" hidden="false" customHeight="true" outlineLevel="0" collapsed="false">
      <c r="A52" s="11" t="s">
        <v>145</v>
      </c>
      <c r="B52" s="11" t="s">
        <v>168</v>
      </c>
      <c r="C52" s="12" t="n">
        <v>17</v>
      </c>
      <c r="D52" s="12" t="n">
        <v>1.2</v>
      </c>
      <c r="E52" s="12" t="n">
        <v>3.1</v>
      </c>
      <c r="F52" s="12" t="n">
        <v>0.3</v>
      </c>
      <c r="G52" s="14" t="s">
        <v>169</v>
      </c>
      <c r="H52" s="14" t="s">
        <v>91</v>
      </c>
      <c r="I52" s="14" t="s">
        <v>79</v>
      </c>
      <c r="J52" s="14"/>
    </row>
    <row r="53" customFormat="false" ht="15" hidden="false" customHeight="true" outlineLevel="0" collapsed="false">
      <c r="A53" s="11" t="s">
        <v>145</v>
      </c>
      <c r="B53" s="11" t="s">
        <v>170</v>
      </c>
      <c r="C53" s="12" t="n">
        <v>30</v>
      </c>
      <c r="D53" s="12" t="n">
        <v>2.5</v>
      </c>
      <c r="E53" s="12" t="n">
        <v>5</v>
      </c>
      <c r="F53" s="12" t="n">
        <v>0.3</v>
      </c>
      <c r="G53" s="14" t="s">
        <v>171</v>
      </c>
      <c r="H53" s="14" t="s">
        <v>91</v>
      </c>
      <c r="I53" s="14" t="s">
        <v>79</v>
      </c>
      <c r="J53" s="14"/>
    </row>
    <row r="54" customFormat="false" ht="15" hidden="false" customHeight="true" outlineLevel="0" collapsed="false">
      <c r="A54" s="11" t="s">
        <v>145</v>
      </c>
      <c r="B54" s="11" t="s">
        <v>172</v>
      </c>
      <c r="C54" s="12" t="n">
        <v>30</v>
      </c>
      <c r="D54" s="12" t="n">
        <v>3</v>
      </c>
      <c r="E54" s="12" t="n">
        <v>6</v>
      </c>
      <c r="F54" s="12" t="n">
        <v>0.2</v>
      </c>
      <c r="G54" s="14" t="s">
        <v>99</v>
      </c>
      <c r="H54" s="14" t="s">
        <v>173</v>
      </c>
      <c r="I54" s="14" t="s">
        <v>79</v>
      </c>
      <c r="J54" s="14" t="s">
        <v>174</v>
      </c>
    </row>
    <row r="55" customFormat="false" ht="15" hidden="false" customHeight="true" outlineLevel="0" collapsed="false">
      <c r="A55" s="11" t="s">
        <v>145</v>
      </c>
      <c r="B55" s="11" t="s">
        <v>175</v>
      </c>
      <c r="C55" s="12" t="n">
        <v>45</v>
      </c>
      <c r="D55" s="12" t="n">
        <v>1.7</v>
      </c>
      <c r="E55" s="12" t="n">
        <v>9</v>
      </c>
      <c r="F55" s="12" t="n">
        <v>0.6</v>
      </c>
      <c r="G55" s="14" t="s">
        <v>176</v>
      </c>
      <c r="H55" s="14" t="s">
        <v>177</v>
      </c>
      <c r="I55" s="14" t="s">
        <v>50</v>
      </c>
      <c r="J55" s="14"/>
    </row>
    <row r="56" customFormat="false" ht="15" hidden="false" customHeight="true" outlineLevel="0" collapsed="false">
      <c r="A56" s="11" t="s">
        <v>145</v>
      </c>
      <c r="B56" s="11" t="s">
        <v>178</v>
      </c>
      <c r="C56" s="12" t="n">
        <v>74</v>
      </c>
      <c r="D56" s="12" t="n">
        <v>1.6</v>
      </c>
      <c r="E56" s="12" t="n">
        <v>17</v>
      </c>
      <c r="F56" s="12" t="n">
        <v>0.1</v>
      </c>
      <c r="G56" s="14" t="s">
        <v>179</v>
      </c>
      <c r="H56" s="14" t="s">
        <v>91</v>
      </c>
      <c r="I56" s="14" t="s">
        <v>105</v>
      </c>
      <c r="J56" s="14"/>
    </row>
    <row r="57" customFormat="false" ht="15" hidden="false" customHeight="true" outlineLevel="0" collapsed="false">
      <c r="A57" s="11" t="s">
        <v>145</v>
      </c>
      <c r="B57" s="11" t="s">
        <v>180</v>
      </c>
      <c r="C57" s="12" t="n">
        <v>42</v>
      </c>
      <c r="D57" s="12" t="n">
        <v>2.8</v>
      </c>
      <c r="E57" s="12" t="n">
        <v>7.5</v>
      </c>
      <c r="F57" s="12" t="n">
        <v>0.2</v>
      </c>
      <c r="G57" s="14" t="s">
        <v>99</v>
      </c>
      <c r="H57" s="14" t="s">
        <v>150</v>
      </c>
      <c r="I57" s="14" t="s">
        <v>79</v>
      </c>
      <c r="J57" s="14"/>
    </row>
    <row r="58" customFormat="false" ht="15" hidden="false" customHeight="true" outlineLevel="0" collapsed="false">
      <c r="A58" s="11" t="s">
        <v>145</v>
      </c>
      <c r="B58" s="11" t="s">
        <v>181</v>
      </c>
      <c r="C58" s="12" t="n">
        <v>33</v>
      </c>
      <c r="D58" s="12" t="n">
        <v>1.9</v>
      </c>
      <c r="E58" s="12" t="n">
        <v>7</v>
      </c>
      <c r="F58" s="12" t="n">
        <v>0.2</v>
      </c>
      <c r="G58" s="14" t="s">
        <v>99</v>
      </c>
      <c r="H58" s="14" t="s">
        <v>150</v>
      </c>
      <c r="I58" s="14" t="s">
        <v>79</v>
      </c>
      <c r="J58" s="14"/>
    </row>
    <row r="59" customFormat="false" ht="15" hidden="false" customHeight="true" outlineLevel="0" collapsed="false">
      <c r="A59" s="11" t="s">
        <v>145</v>
      </c>
      <c r="B59" s="11" t="s">
        <v>182</v>
      </c>
      <c r="C59" s="12" t="n">
        <v>25</v>
      </c>
      <c r="D59" s="12" t="n">
        <v>1</v>
      </c>
      <c r="E59" s="12" t="n">
        <v>6</v>
      </c>
      <c r="F59" s="12" t="n">
        <v>0.2</v>
      </c>
      <c r="G59" s="14" t="s">
        <v>169</v>
      </c>
      <c r="H59" s="14" t="s">
        <v>91</v>
      </c>
      <c r="I59" s="14" t="s">
        <v>79</v>
      </c>
      <c r="J59" s="14"/>
    </row>
    <row r="60" customFormat="false" ht="15" hidden="false" customHeight="true" outlineLevel="0" collapsed="false">
      <c r="A60" s="11" t="s">
        <v>145</v>
      </c>
      <c r="B60" s="11" t="s">
        <v>183</v>
      </c>
      <c r="C60" s="12" t="n">
        <v>22</v>
      </c>
      <c r="D60" s="12" t="n">
        <v>2</v>
      </c>
      <c r="E60" s="12" t="n">
        <v>4</v>
      </c>
      <c r="F60" s="12" t="n">
        <v>0.3</v>
      </c>
      <c r="G60" s="14" t="s">
        <v>184</v>
      </c>
      <c r="H60" s="14" t="s">
        <v>150</v>
      </c>
      <c r="I60" s="14" t="s">
        <v>79</v>
      </c>
      <c r="J60" s="14" t="s">
        <v>185</v>
      </c>
    </row>
    <row r="61" customFormat="false" ht="15" hidden="false" customHeight="true" outlineLevel="0" collapsed="false">
      <c r="A61" s="10" t="s">
        <v>186</v>
      </c>
      <c r="B61" s="10"/>
      <c r="C61" s="10"/>
      <c r="D61" s="10"/>
      <c r="E61" s="10"/>
      <c r="F61" s="10"/>
      <c r="G61" s="10"/>
      <c r="H61" s="10"/>
      <c r="I61" s="10"/>
      <c r="J61" s="10"/>
    </row>
    <row r="62" customFormat="false" ht="15" hidden="false" customHeight="true" outlineLevel="0" collapsed="false">
      <c r="A62" s="11" t="s">
        <v>186</v>
      </c>
      <c r="B62" s="11" t="s">
        <v>187</v>
      </c>
      <c r="C62" s="12" t="n">
        <v>89</v>
      </c>
      <c r="D62" s="12" t="n">
        <v>1.1</v>
      </c>
      <c r="E62" s="12" t="n">
        <v>23</v>
      </c>
      <c r="F62" s="12" t="n">
        <v>0.3</v>
      </c>
      <c r="G62" s="14" t="s">
        <v>188</v>
      </c>
      <c r="H62" s="14" t="s">
        <v>189</v>
      </c>
      <c r="I62" s="14" t="s">
        <v>79</v>
      </c>
      <c r="J62" s="14" t="s">
        <v>190</v>
      </c>
    </row>
    <row r="63" customFormat="false" ht="15" hidden="false" customHeight="true" outlineLevel="0" collapsed="false">
      <c r="A63" s="11" t="s">
        <v>186</v>
      </c>
      <c r="B63" s="11" t="s">
        <v>191</v>
      </c>
      <c r="C63" s="12" t="n">
        <v>53</v>
      </c>
      <c r="D63" s="12" t="n">
        <v>0.3</v>
      </c>
      <c r="E63" s="12" t="n">
        <v>14</v>
      </c>
      <c r="F63" s="12" t="n">
        <v>0.2</v>
      </c>
      <c r="G63" s="14" t="s">
        <v>129</v>
      </c>
      <c r="H63" s="14" t="s">
        <v>74</v>
      </c>
      <c r="I63" s="14" t="s">
        <v>50</v>
      </c>
      <c r="J63" s="14" t="s">
        <v>192</v>
      </c>
    </row>
    <row r="64" customFormat="false" ht="15" hidden="false" customHeight="true" outlineLevel="0" collapsed="false">
      <c r="A64" s="10" t="s">
        <v>193</v>
      </c>
      <c r="B64" s="10"/>
      <c r="C64" s="10"/>
      <c r="D64" s="10"/>
      <c r="E64" s="10"/>
      <c r="F64" s="10"/>
      <c r="G64" s="10"/>
      <c r="H64" s="10"/>
      <c r="I64" s="10"/>
      <c r="J64" s="10"/>
    </row>
    <row r="65" customFormat="false" ht="15" hidden="false" customHeight="true" outlineLevel="0" collapsed="false">
      <c r="A65" s="11" t="s">
        <v>194</v>
      </c>
      <c r="B65" s="11" t="s">
        <v>195</v>
      </c>
      <c r="C65" s="12" t="n">
        <v>88</v>
      </c>
      <c r="D65" s="12" t="n">
        <v>0.5</v>
      </c>
      <c r="E65" s="12" t="n">
        <v>17</v>
      </c>
      <c r="F65" s="12" t="n">
        <v>0</v>
      </c>
      <c r="G65" s="14" t="s">
        <v>136</v>
      </c>
      <c r="H65" s="14" t="s">
        <v>70</v>
      </c>
      <c r="I65" s="14" t="s">
        <v>50</v>
      </c>
      <c r="J65" s="13" t="s">
        <v>196</v>
      </c>
    </row>
    <row r="66" customFormat="false" ht="15" hidden="false" customHeight="true" outlineLevel="0" collapsed="false">
      <c r="A66" s="11" t="s">
        <v>194</v>
      </c>
      <c r="B66" s="11" t="s">
        <v>197</v>
      </c>
      <c r="C66" s="12" t="n">
        <v>60</v>
      </c>
      <c r="D66" s="12" t="n">
        <v>4</v>
      </c>
      <c r="E66" s="12" t="n">
        <v>5</v>
      </c>
      <c r="F66" s="12" t="n">
        <v>3</v>
      </c>
      <c r="G66" s="14" t="s">
        <v>136</v>
      </c>
      <c r="H66" s="14" t="s">
        <v>88</v>
      </c>
      <c r="I66" s="14" t="s">
        <v>50</v>
      </c>
      <c r="J66" s="14" t="s">
        <v>198</v>
      </c>
    </row>
    <row r="67" customFormat="false" ht="15" hidden="false" customHeight="true" outlineLevel="0" collapsed="false">
      <c r="A67" s="11" t="s">
        <v>194</v>
      </c>
      <c r="B67" s="11" t="s">
        <v>199</v>
      </c>
      <c r="C67" s="12" t="n">
        <v>50</v>
      </c>
      <c r="D67" s="12" t="n">
        <v>1.5</v>
      </c>
      <c r="E67" s="12" t="n">
        <v>10</v>
      </c>
      <c r="F67" s="12" t="n">
        <v>0</v>
      </c>
      <c r="G67" s="14" t="s">
        <v>136</v>
      </c>
      <c r="H67" s="14" t="s">
        <v>88</v>
      </c>
      <c r="I67" s="14" t="s">
        <v>50</v>
      </c>
      <c r="J67" s="14" t="s">
        <v>200</v>
      </c>
    </row>
    <row r="68" customFormat="false" ht="15" hidden="false" customHeight="true" outlineLevel="0" collapsed="false">
      <c r="A68" s="11" t="s">
        <v>194</v>
      </c>
      <c r="B68" s="11" t="s">
        <v>201</v>
      </c>
      <c r="C68" s="12" t="n">
        <v>450</v>
      </c>
      <c r="D68" s="12" t="n">
        <v>6</v>
      </c>
      <c r="E68" s="12" t="n">
        <v>45</v>
      </c>
      <c r="F68" s="12" t="n">
        <v>28</v>
      </c>
      <c r="G68" s="14" t="s">
        <v>152</v>
      </c>
      <c r="H68" s="14" t="s">
        <v>70</v>
      </c>
      <c r="I68" s="14" t="s">
        <v>50</v>
      </c>
      <c r="J68" s="14" t="s">
        <v>202</v>
      </c>
    </row>
    <row r="69" customFormat="false" ht="15" hidden="false" customHeight="true" outlineLevel="0" collapsed="false">
      <c r="A69" s="10" t="s">
        <v>203</v>
      </c>
      <c r="B69" s="10"/>
      <c r="C69" s="10"/>
      <c r="D69" s="10"/>
      <c r="E69" s="10"/>
      <c r="F69" s="10"/>
      <c r="G69" s="10"/>
      <c r="H69" s="10"/>
      <c r="I69" s="10"/>
      <c r="J69" s="10"/>
    </row>
    <row r="70" customFormat="false" ht="15" hidden="false" customHeight="true" outlineLevel="0" collapsed="false">
      <c r="A70" s="11" t="s">
        <v>93</v>
      </c>
      <c r="B70" s="16" t="s">
        <v>204</v>
      </c>
      <c r="C70" s="17" t="n">
        <v>285</v>
      </c>
      <c r="D70" s="17" t="n">
        <v>10.5</v>
      </c>
      <c r="E70" s="17" t="n">
        <v>56</v>
      </c>
      <c r="F70" s="17" t="n">
        <v>3.8</v>
      </c>
      <c r="G70" s="14" t="s">
        <v>99</v>
      </c>
      <c r="H70" s="14" t="s">
        <v>49</v>
      </c>
      <c r="I70" s="14" t="s">
        <v>50</v>
      </c>
      <c r="J70" s="14" t="s">
        <v>205</v>
      </c>
    </row>
    <row r="71" customFormat="false" ht="15" hidden="false" customHeight="true" outlineLevel="0" collapsed="false">
      <c r="A71" s="11" t="s">
        <v>206</v>
      </c>
      <c r="B71" s="16" t="s">
        <v>207</v>
      </c>
      <c r="C71" s="18" t="n">
        <v>515</v>
      </c>
      <c r="D71" s="18" t="n">
        <v>6.1</v>
      </c>
      <c r="E71" s="18" t="n">
        <v>69.7</v>
      </c>
      <c r="F71" s="18" t="n">
        <v>21.2</v>
      </c>
      <c r="G71" s="14" t="s">
        <v>208</v>
      </c>
      <c r="H71" s="14" t="s">
        <v>70</v>
      </c>
      <c r="I71" s="14" t="s">
        <v>50</v>
      </c>
      <c r="J71" s="14" t="s">
        <v>209</v>
      </c>
    </row>
    <row r="72" customFormat="false" ht="15" hidden="false" customHeight="true" outlineLevel="0" collapsed="false">
      <c r="A72" s="11" t="s">
        <v>194</v>
      </c>
      <c r="B72" s="11" t="s">
        <v>210</v>
      </c>
      <c r="C72" s="17" t="n">
        <v>330</v>
      </c>
      <c r="D72" s="17" t="n">
        <v>0.6</v>
      </c>
      <c r="E72" s="17" t="n">
        <v>9</v>
      </c>
      <c r="F72" s="17" t="n">
        <v>33</v>
      </c>
      <c r="G72" s="14" t="s">
        <v>136</v>
      </c>
      <c r="H72" s="14" t="s">
        <v>88</v>
      </c>
      <c r="I72" s="14" t="s">
        <v>50</v>
      </c>
      <c r="J72" s="14" t="s">
        <v>211</v>
      </c>
    </row>
    <row r="73" customFormat="false" ht="29.25" hidden="false" customHeight="true" outlineLevel="0" collapsed="false">
      <c r="A73" s="11" t="s">
        <v>206</v>
      </c>
      <c r="B73" s="11" t="s">
        <v>212</v>
      </c>
      <c r="C73" s="17" t="n">
        <v>335</v>
      </c>
      <c r="D73" s="17" t="n">
        <v>3.5</v>
      </c>
      <c r="E73" s="17" t="n">
        <v>45</v>
      </c>
      <c r="F73" s="17" t="n">
        <v>16</v>
      </c>
      <c r="G73" s="19" t="s">
        <v>213</v>
      </c>
      <c r="H73" s="14" t="s">
        <v>214</v>
      </c>
      <c r="I73" s="14" t="s">
        <v>50</v>
      </c>
      <c r="J73" s="14" t="s">
        <v>215</v>
      </c>
    </row>
    <row r="74" customFormat="false" ht="15" hidden="false" customHeight="true" outlineLevel="0" collapsed="false">
      <c r="A74" s="20" t="s">
        <v>216</v>
      </c>
      <c r="B74" s="20"/>
      <c r="C74" s="20"/>
      <c r="D74" s="20"/>
      <c r="E74" s="20"/>
      <c r="F74" s="20"/>
      <c r="G74" s="20"/>
      <c r="H74" s="20"/>
      <c r="I74" s="20"/>
      <c r="J74" s="20"/>
    </row>
    <row r="75" customFormat="false" ht="15" hidden="false" customHeight="false" outlineLevel="0" collapsed="false">
      <c r="A75" s="21" t="s">
        <v>194</v>
      </c>
      <c r="B75" s="21" t="s">
        <v>217</v>
      </c>
      <c r="C75" s="17" t="n">
        <v>180</v>
      </c>
      <c r="D75" s="17" t="n">
        <v>5</v>
      </c>
      <c r="E75" s="17" t="n">
        <v>40</v>
      </c>
      <c r="F75" s="17" t="n">
        <v>2</v>
      </c>
      <c r="G75" s="22" t="s">
        <v>218</v>
      </c>
      <c r="H75" s="22" t="s">
        <v>88</v>
      </c>
      <c r="I75" s="22" t="s">
        <v>50</v>
      </c>
      <c r="J75" s="22" t="s">
        <v>211</v>
      </c>
    </row>
    <row r="76" customFormat="false" ht="15" hidden="false" customHeight="false" outlineLevel="0" collapsed="false">
      <c r="A76" s="21" t="s">
        <v>194</v>
      </c>
      <c r="B76" s="21" t="s">
        <v>219</v>
      </c>
      <c r="C76" s="17" t="n">
        <v>282</v>
      </c>
      <c r="D76" s="17" t="n">
        <v>13</v>
      </c>
      <c r="E76" s="17" t="n">
        <v>57</v>
      </c>
      <c r="F76" s="17" t="n">
        <v>14</v>
      </c>
      <c r="G76" s="22" t="s">
        <v>220</v>
      </c>
      <c r="H76" s="22" t="s">
        <v>70</v>
      </c>
      <c r="I76" s="22" t="s">
        <v>50</v>
      </c>
      <c r="J76" s="22" t="s">
        <v>221</v>
      </c>
    </row>
    <row r="77" customFormat="false" ht="15" hidden="false" customHeight="false" outlineLevel="0" collapsed="false">
      <c r="A77" s="21" t="s">
        <v>194</v>
      </c>
      <c r="B77" s="21" t="s">
        <v>222</v>
      </c>
      <c r="C77" s="17" t="n">
        <v>130</v>
      </c>
      <c r="D77" s="17" t="n">
        <v>0.4</v>
      </c>
      <c r="E77" s="17" t="n">
        <v>5</v>
      </c>
      <c r="F77" s="17" t="n">
        <v>0</v>
      </c>
      <c r="G77" s="22" t="s">
        <v>223</v>
      </c>
      <c r="H77" s="22" t="s">
        <v>70</v>
      </c>
      <c r="I77" s="22" t="s">
        <v>50</v>
      </c>
      <c r="J77" s="22" t="s">
        <v>221</v>
      </c>
    </row>
    <row r="78" customFormat="false" ht="15" hidden="false" customHeight="false" outlineLevel="0" collapsed="false">
      <c r="A78" s="21" t="s">
        <v>194</v>
      </c>
      <c r="B78" s="21" t="s">
        <v>224</v>
      </c>
      <c r="C78" s="17" t="n">
        <v>304</v>
      </c>
      <c r="D78" s="17" t="n">
        <v>0.3</v>
      </c>
      <c r="E78" s="17" t="n">
        <v>82</v>
      </c>
      <c r="F78" s="17" t="n">
        <v>0</v>
      </c>
      <c r="G78" s="22" t="s">
        <v>223</v>
      </c>
      <c r="H78" s="22" t="s">
        <v>70</v>
      </c>
      <c r="I78" s="22" t="s">
        <v>50</v>
      </c>
      <c r="J78" s="22" t="s">
        <v>225</v>
      </c>
    </row>
    <row r="79" customFormat="false" ht="15" hidden="false" customHeight="false" outlineLevel="0" collapsed="false">
      <c r="A79" s="21" t="s">
        <v>127</v>
      </c>
      <c r="B79" s="21" t="s">
        <v>226</v>
      </c>
      <c r="C79" s="17" t="n">
        <v>884</v>
      </c>
      <c r="D79" s="17" t="n">
        <v>0</v>
      </c>
      <c r="E79" s="17" t="n">
        <v>0</v>
      </c>
      <c r="F79" s="17" t="n">
        <v>100</v>
      </c>
      <c r="G79" s="22" t="s">
        <v>223</v>
      </c>
      <c r="H79" s="22" t="s">
        <v>70</v>
      </c>
      <c r="I79" s="22" t="s">
        <v>50</v>
      </c>
      <c r="J79" s="22" t="s">
        <v>225</v>
      </c>
    </row>
    <row r="80" customFormat="false" ht="15" hidden="false" customHeight="false" outlineLevel="0" collapsed="false">
      <c r="A80" s="21" t="s">
        <v>93</v>
      </c>
      <c r="B80" s="21" t="s">
        <v>227</v>
      </c>
      <c r="C80" s="17" t="n">
        <v>200</v>
      </c>
      <c r="D80" s="17" t="n">
        <v>4</v>
      </c>
      <c r="E80" s="17" t="n">
        <v>45</v>
      </c>
      <c r="F80" s="17" t="n">
        <v>0.4</v>
      </c>
      <c r="G80" s="22" t="s">
        <v>220</v>
      </c>
      <c r="H80" s="22" t="s">
        <v>228</v>
      </c>
      <c r="I80" s="22" t="s">
        <v>105</v>
      </c>
      <c r="J80" s="22" t="s">
        <v>211</v>
      </c>
    </row>
    <row r="81" customFormat="false" ht="15" hidden="false" customHeight="false" outlineLevel="0" collapsed="false">
      <c r="A81" s="21" t="s">
        <v>46</v>
      </c>
      <c r="B81" s="21" t="s">
        <v>229</v>
      </c>
      <c r="C81" s="17" t="n">
        <v>300</v>
      </c>
      <c r="D81" s="17" t="n">
        <v>12</v>
      </c>
      <c r="E81" s="17" t="n">
        <v>3</v>
      </c>
      <c r="F81" s="17" t="n">
        <v>27</v>
      </c>
      <c r="G81" s="22" t="s">
        <v>230</v>
      </c>
      <c r="H81" s="22" t="s">
        <v>84</v>
      </c>
      <c r="I81" s="22" t="s">
        <v>79</v>
      </c>
      <c r="J81" s="22" t="s">
        <v>231</v>
      </c>
    </row>
    <row r="82" customFormat="false" ht="15" hidden="false" customHeight="false" outlineLevel="0" collapsed="false">
      <c r="A82" s="21" t="s">
        <v>186</v>
      </c>
      <c r="B82" s="21" t="s">
        <v>232</v>
      </c>
      <c r="C82" s="17" t="n">
        <v>57</v>
      </c>
      <c r="D82" s="17" t="n">
        <v>0.7</v>
      </c>
      <c r="E82" s="17" t="n">
        <v>14</v>
      </c>
      <c r="F82" s="17" t="n">
        <v>0.3</v>
      </c>
      <c r="G82" s="22" t="s">
        <v>233</v>
      </c>
      <c r="H82" s="22" t="s">
        <v>84</v>
      </c>
      <c r="I82" s="22" t="s">
        <v>79</v>
      </c>
      <c r="J82" s="22" t="s">
        <v>225</v>
      </c>
    </row>
    <row r="83" customFormat="false" ht="15" hidden="false" customHeight="false" outlineLevel="0" collapsed="false">
      <c r="A83" s="21" t="s">
        <v>186</v>
      </c>
      <c r="B83" s="21" t="s">
        <v>234</v>
      </c>
      <c r="C83" s="17" t="n">
        <v>39</v>
      </c>
      <c r="D83" s="17" t="n">
        <v>0.9</v>
      </c>
      <c r="E83" s="17" t="n">
        <v>10</v>
      </c>
      <c r="F83" s="17" t="n">
        <v>0.3</v>
      </c>
      <c r="G83" s="22" t="s">
        <v>235</v>
      </c>
      <c r="H83" s="22" t="s">
        <v>84</v>
      </c>
      <c r="I83" s="22" t="s">
        <v>105</v>
      </c>
      <c r="J83" s="22" t="s">
        <v>225</v>
      </c>
    </row>
    <row r="84" customFormat="false" ht="15" hidden="false" customHeight="false" outlineLevel="0" collapsed="false">
      <c r="A84" s="21" t="s">
        <v>145</v>
      </c>
      <c r="B84" s="21" t="s">
        <v>236</v>
      </c>
      <c r="C84" s="17" t="n">
        <v>20</v>
      </c>
      <c r="D84" s="17" t="n">
        <v>2</v>
      </c>
      <c r="E84" s="17" t="n">
        <v>3.7</v>
      </c>
      <c r="F84" s="17" t="n">
        <v>0.3</v>
      </c>
      <c r="G84" s="22" t="s">
        <v>237</v>
      </c>
      <c r="H84" s="22" t="s">
        <v>238</v>
      </c>
      <c r="I84" s="22" t="s">
        <v>79</v>
      </c>
      <c r="J84" s="22" t="s">
        <v>225</v>
      </c>
    </row>
    <row r="85" customFormat="false" ht="15" hidden="false" customHeight="false" outlineLevel="0" collapsed="false">
      <c r="A85" s="21" t="s">
        <v>206</v>
      </c>
      <c r="B85" s="21" t="s">
        <v>239</v>
      </c>
      <c r="C85" s="17" t="n">
        <v>400</v>
      </c>
      <c r="D85" s="17" t="n">
        <v>5</v>
      </c>
      <c r="E85" s="17" t="n">
        <v>50</v>
      </c>
      <c r="F85" s="17" t="n">
        <v>20</v>
      </c>
      <c r="G85" s="22" t="s">
        <v>240</v>
      </c>
      <c r="H85" s="19" t="s">
        <v>241</v>
      </c>
      <c r="I85" s="22" t="s">
        <v>79</v>
      </c>
      <c r="J85" s="22" t="s">
        <v>242</v>
      </c>
    </row>
  </sheetData>
  <mergeCells count="8">
    <mergeCell ref="A3:J3"/>
    <mergeCell ref="A20:J20"/>
    <mergeCell ref="A33:J33"/>
    <mergeCell ref="A39:J39"/>
    <mergeCell ref="A61:J61"/>
    <mergeCell ref="A64:J64"/>
    <mergeCell ref="A69:J69"/>
    <mergeCell ref="A74:J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1"/>
    <col collapsed="false" customWidth="true" hidden="false" outlineLevel="0" max="3" min="3" style="1" width="16"/>
    <col collapsed="false" customWidth="true" hidden="false" outlineLevel="0" max="4" min="4" style="1" width="8"/>
    <col collapsed="false" customWidth="true" hidden="false" outlineLevel="0" max="5" min="5" style="1" width="12"/>
    <col collapsed="false" customWidth="true" hidden="false" outlineLevel="0" max="6" min="6" style="1" width="11"/>
    <col collapsed="false" customWidth="true" hidden="false" outlineLevel="0" max="10" min="7" style="1" width="10"/>
    <col collapsed="false" customWidth="true" hidden="false" outlineLevel="0" max="13" min="11" style="1" width="9"/>
  </cols>
  <sheetData>
    <row r="1" customFormat="false" ht="21.75" hidden="false" customHeight="true" outlineLevel="0" collapsed="false">
      <c r="A1" s="2" t="s">
        <v>243</v>
      </c>
    </row>
    <row r="2" customFormat="false" ht="29.25" hidden="false" customHeight="true" outlineLevel="0" collapsed="false">
      <c r="A2" s="9" t="s">
        <v>244</v>
      </c>
      <c r="B2" s="9" t="s">
        <v>245</v>
      </c>
      <c r="C2" s="9" t="s">
        <v>37</v>
      </c>
      <c r="D2" s="9" t="s">
        <v>246</v>
      </c>
      <c r="E2" s="9" t="s">
        <v>247</v>
      </c>
      <c r="F2" s="9" t="s">
        <v>248</v>
      </c>
      <c r="G2" s="9" t="s">
        <v>249</v>
      </c>
      <c r="H2" s="9" t="s">
        <v>250</v>
      </c>
      <c r="I2" s="9" t="s">
        <v>251</v>
      </c>
      <c r="J2" s="9" t="s">
        <v>252</v>
      </c>
      <c r="K2" s="9" t="s">
        <v>253</v>
      </c>
      <c r="L2" s="9" t="s">
        <v>254</v>
      </c>
      <c r="M2" s="9" t="s">
        <v>255</v>
      </c>
    </row>
    <row r="3" customFormat="false" ht="15" hidden="false" customHeight="true" outlineLevel="0" collapsed="false">
      <c r="A3" s="23" t="s">
        <v>256</v>
      </c>
      <c r="B3" s="23" t="s">
        <v>257</v>
      </c>
      <c r="C3" s="23" t="s">
        <v>58</v>
      </c>
      <c r="D3" s="24" t="n">
        <v>400</v>
      </c>
      <c r="E3" s="25" t="s">
        <v>258</v>
      </c>
      <c r="F3" s="26" t="n">
        <f aca="false">IFERROR(VLOOKUP($C3,①食材库!$B:$F,2,FALSE()),0)</f>
        <v>250</v>
      </c>
      <c r="G3" s="26" t="n">
        <f aca="false">IFERROR(VLOOKUP($C3,①食材库!$B:$F,3,FALSE()),0)</f>
        <v>18</v>
      </c>
      <c r="H3" s="26" t="n">
        <f aca="false">IFERROR(VLOOKUP($C3,①食材库!$B:$F,4,FALSE()),0)</f>
        <v>0</v>
      </c>
      <c r="I3" s="26" t="n">
        <f aca="false">IFERROR(VLOOKUP($C3,①食材库!$B:$F,5,FALSE()),0)</f>
        <v>20</v>
      </c>
      <c r="J3" s="26" t="n">
        <f aca="false">ROUND($D3/100*F3,0)</f>
        <v>1000</v>
      </c>
      <c r="K3" s="26" t="n">
        <f aca="false">ROUND($D3/100*G3,1)</f>
        <v>72</v>
      </c>
      <c r="L3" s="26" t="n">
        <f aca="false">ROUND($D3/100*H3,1)</f>
        <v>0</v>
      </c>
      <c r="M3" s="26" t="n">
        <f aca="false">ROUND($D3/100*I3,1)</f>
        <v>80</v>
      </c>
    </row>
    <row r="4" customFormat="false" ht="15" hidden="false" customHeight="true" outlineLevel="0" collapsed="false">
      <c r="A4" s="23" t="s">
        <v>256</v>
      </c>
      <c r="B4" s="23" t="s">
        <v>257</v>
      </c>
      <c r="C4" s="23" t="s">
        <v>157</v>
      </c>
      <c r="D4" s="25" t="n">
        <v>300</v>
      </c>
      <c r="E4" s="25" t="s">
        <v>259</v>
      </c>
      <c r="F4" s="26" t="n">
        <f aca="false">IFERROR(VLOOKUP($C4,①食材库!$B:$F,2,FALSE()),0)</f>
        <v>18</v>
      </c>
      <c r="G4" s="26" t="n">
        <f aca="false">IFERROR(VLOOKUP($C4,①食材库!$B:$F,3,FALSE()),0)</f>
        <v>0.9</v>
      </c>
      <c r="H4" s="26" t="n">
        <f aca="false">IFERROR(VLOOKUP($C4,①食材库!$B:$F,4,FALSE()),0)</f>
        <v>3.9</v>
      </c>
      <c r="I4" s="26" t="n">
        <f aca="false">IFERROR(VLOOKUP($C4,①食材库!$B:$F,5,FALSE()),0)</f>
        <v>0.2</v>
      </c>
      <c r="J4" s="26" t="n">
        <f aca="false">ROUND($D4/100*F4,0)</f>
        <v>54</v>
      </c>
      <c r="K4" s="26" t="n">
        <f aca="false">ROUND($D4/100*G4,1)</f>
        <v>2.7</v>
      </c>
      <c r="L4" s="26" t="n">
        <f aca="false">ROUND($D4/100*H4,1)</f>
        <v>11.7</v>
      </c>
      <c r="M4" s="26" t="n">
        <f aca="false">ROUND($D4/100*I4,1)</f>
        <v>0.6</v>
      </c>
    </row>
    <row r="5" customFormat="false" ht="15" hidden="false" customHeight="true" outlineLevel="0" collapsed="false">
      <c r="A5" s="23" t="s">
        <v>256</v>
      </c>
      <c r="B5" s="23" t="s">
        <v>257</v>
      </c>
      <c r="C5" s="23" t="s">
        <v>167</v>
      </c>
      <c r="D5" s="25" t="n">
        <v>80</v>
      </c>
      <c r="E5" s="25" t="s">
        <v>260</v>
      </c>
      <c r="F5" s="26" t="n">
        <f aca="false">IFERROR(VLOOKUP($C5,①食材库!$B:$F,2,FALSE()),0)</f>
        <v>40</v>
      </c>
      <c r="G5" s="26" t="n">
        <f aca="false">IFERROR(VLOOKUP($C5,①食材库!$B:$F,3,FALSE()),0)</f>
        <v>1.1</v>
      </c>
      <c r="H5" s="26" t="n">
        <f aca="false">IFERROR(VLOOKUP($C5,①食材库!$B:$F,4,FALSE()),0)</f>
        <v>9</v>
      </c>
      <c r="I5" s="26" t="n">
        <f aca="false">IFERROR(VLOOKUP($C5,①食材库!$B:$F,5,FALSE()),0)</f>
        <v>0.1</v>
      </c>
      <c r="J5" s="26" t="n">
        <f aca="false">ROUND($D5/100*F5,0)</f>
        <v>32</v>
      </c>
      <c r="K5" s="26" t="n">
        <f aca="false">ROUND($D5/100*G5,1)</f>
        <v>0.9</v>
      </c>
      <c r="L5" s="26" t="n">
        <f aca="false">ROUND($D5/100*H5,1)</f>
        <v>7.2</v>
      </c>
      <c r="M5" s="26" t="n">
        <f aca="false">ROUND($D5/100*I5,1)</f>
        <v>0.1</v>
      </c>
    </row>
    <row r="6" customFormat="false" ht="15" hidden="false" customHeight="true" outlineLevel="0" collapsed="false">
      <c r="A6" s="23" t="s">
        <v>256</v>
      </c>
      <c r="B6" s="23" t="s">
        <v>257</v>
      </c>
      <c r="C6" s="23" t="s">
        <v>138</v>
      </c>
      <c r="D6" s="25" t="n">
        <v>3</v>
      </c>
      <c r="E6" s="25" t="s">
        <v>261</v>
      </c>
      <c r="F6" s="26" t="n">
        <f aca="false">IFERROR(VLOOKUP($C6,①食材库!$B:$F,2,FALSE()),0)</f>
        <v>884</v>
      </c>
      <c r="G6" s="26" t="n">
        <f aca="false">IFERROR(VLOOKUP($C6,①食材库!$B:$F,3,FALSE()),0)</f>
        <v>0</v>
      </c>
      <c r="H6" s="26" t="n">
        <f aca="false">IFERROR(VLOOKUP($C6,①食材库!$B:$F,4,FALSE()),0)</f>
        <v>0</v>
      </c>
      <c r="I6" s="26" t="n">
        <f aca="false">IFERROR(VLOOKUP($C6,①食材库!$B:$F,5,FALSE()),0)</f>
        <v>100</v>
      </c>
      <c r="J6" s="26" t="n">
        <f aca="false">ROUND($D6/100*F6,0)</f>
        <v>27</v>
      </c>
      <c r="K6" s="26" t="n">
        <f aca="false">ROUND($D6/100*G6,1)</f>
        <v>0</v>
      </c>
      <c r="L6" s="26" t="n">
        <f aca="false">ROUND($D6/100*H6,1)</f>
        <v>0</v>
      </c>
      <c r="M6" s="26" t="n">
        <f aca="false">ROUND($D6/100*I6,1)</f>
        <v>3</v>
      </c>
    </row>
    <row r="7" customFormat="false" ht="15" hidden="false" customHeight="true" outlineLevel="0" collapsed="false">
      <c r="A7" s="27" t="s">
        <v>262</v>
      </c>
      <c r="B7" s="27" t="s">
        <v>257</v>
      </c>
      <c r="C7" s="27" t="s">
        <v>51</v>
      </c>
      <c r="D7" s="28" t="n">
        <v>400</v>
      </c>
      <c r="E7" s="28"/>
      <c r="F7" s="26" t="n">
        <f aca="false">IFERROR(VLOOKUP($C7,①食材库!$B:$F,2,FALSE()),0)</f>
        <v>120</v>
      </c>
      <c r="G7" s="26" t="n">
        <f aca="false">IFERROR(VLOOKUP($C7,①食材库!$B:$F,3,FALSE()),0)</f>
        <v>20</v>
      </c>
      <c r="H7" s="26" t="n">
        <f aca="false">IFERROR(VLOOKUP($C7,①食材库!$B:$F,4,FALSE()),0)</f>
        <v>0</v>
      </c>
      <c r="I7" s="26" t="n">
        <f aca="false">IFERROR(VLOOKUP($C7,①食材库!$B:$F,5,FALSE()),0)</f>
        <v>4</v>
      </c>
      <c r="J7" s="26" t="n">
        <f aca="false">ROUND($D7/100*F7,0)</f>
        <v>480</v>
      </c>
      <c r="K7" s="26" t="n">
        <f aca="false">ROUND($D7/100*G7,1)</f>
        <v>80</v>
      </c>
      <c r="L7" s="26" t="n">
        <f aca="false">ROUND($D7/100*H7,1)</f>
        <v>0</v>
      </c>
      <c r="M7" s="26" t="n">
        <f aca="false">ROUND($D7/100*I7,1)</f>
        <v>16</v>
      </c>
    </row>
    <row r="8" customFormat="false" ht="15" hidden="false" customHeight="true" outlineLevel="0" collapsed="false">
      <c r="A8" s="27" t="s">
        <v>262</v>
      </c>
      <c r="B8" s="27" t="s">
        <v>257</v>
      </c>
      <c r="C8" s="27" t="s">
        <v>201</v>
      </c>
      <c r="D8" s="28" t="n">
        <v>60</v>
      </c>
      <c r="E8" s="29" t="s">
        <v>263</v>
      </c>
      <c r="F8" s="26" t="n">
        <f aca="false">IFERROR(VLOOKUP($C8,①食材库!$B:$F,2,FALSE()),0)</f>
        <v>450</v>
      </c>
      <c r="G8" s="26" t="n">
        <f aca="false">IFERROR(VLOOKUP($C8,①食材库!$B:$F,3,FALSE()),0)</f>
        <v>6</v>
      </c>
      <c r="H8" s="26" t="n">
        <f aca="false">IFERROR(VLOOKUP($C8,①食材库!$B:$F,4,FALSE()),0)</f>
        <v>45</v>
      </c>
      <c r="I8" s="26" t="n">
        <f aca="false">IFERROR(VLOOKUP($C8,①食材库!$B:$F,5,FALSE()),0)</f>
        <v>28</v>
      </c>
      <c r="J8" s="26" t="n">
        <f aca="false">ROUND($D8/100*F8,0)</f>
        <v>270</v>
      </c>
      <c r="K8" s="26" t="n">
        <f aca="false">ROUND($D8/100*G8,1)</f>
        <v>3.6</v>
      </c>
      <c r="L8" s="26" t="n">
        <f aca="false">ROUND($D8/100*H8,1)</f>
        <v>27</v>
      </c>
      <c r="M8" s="26" t="n">
        <f aca="false">ROUND($D8/100*I8,1)</f>
        <v>16.8</v>
      </c>
    </row>
    <row r="9" customFormat="false" ht="15" hidden="false" customHeight="true" outlineLevel="0" collapsed="false">
      <c r="A9" s="27" t="s">
        <v>262</v>
      </c>
      <c r="B9" s="27" t="s">
        <v>257</v>
      </c>
      <c r="C9" s="27" t="s">
        <v>167</v>
      </c>
      <c r="D9" s="29" t="n">
        <v>100</v>
      </c>
      <c r="E9" s="29"/>
      <c r="F9" s="26" t="n">
        <f aca="false">IFERROR(VLOOKUP($C9,①食材库!$B:$F,2,FALSE()),0)</f>
        <v>40</v>
      </c>
      <c r="G9" s="26" t="n">
        <f aca="false">IFERROR(VLOOKUP($C9,①食材库!$B:$F,3,FALSE()),0)</f>
        <v>1.1</v>
      </c>
      <c r="H9" s="26" t="n">
        <f aca="false">IFERROR(VLOOKUP($C9,①食材库!$B:$F,4,FALSE()),0)</f>
        <v>9</v>
      </c>
      <c r="I9" s="26" t="n">
        <f aca="false">IFERROR(VLOOKUP($C9,①食材库!$B:$F,5,FALSE()),0)</f>
        <v>0.1</v>
      </c>
      <c r="J9" s="26" t="n">
        <f aca="false">ROUND($D9/100*F9,0)</f>
        <v>40</v>
      </c>
      <c r="K9" s="26" t="n">
        <f aca="false">ROUND($D9/100*G9,1)</f>
        <v>1.1</v>
      </c>
      <c r="L9" s="26" t="n">
        <f aca="false">ROUND($D9/100*H9,1)</f>
        <v>9</v>
      </c>
      <c r="M9" s="26" t="n">
        <f aca="false">ROUND($D9/100*I9,1)</f>
        <v>0.1</v>
      </c>
    </row>
    <row r="10" customFormat="false" ht="15" hidden="false" customHeight="true" outlineLevel="0" collapsed="false">
      <c r="A10" s="27" t="s">
        <v>262</v>
      </c>
      <c r="B10" s="27" t="s">
        <v>257</v>
      </c>
      <c r="C10" s="27" t="s">
        <v>153</v>
      </c>
      <c r="D10" s="29" t="n">
        <v>100</v>
      </c>
      <c r="E10" s="29"/>
      <c r="F10" s="26" t="n">
        <f aca="false">IFERROR(VLOOKUP($C10,①食材库!$B:$F,2,FALSE()),0)</f>
        <v>41</v>
      </c>
      <c r="G10" s="26" t="n">
        <f aca="false">IFERROR(VLOOKUP($C10,①食材库!$B:$F,3,FALSE()),0)</f>
        <v>0.9</v>
      </c>
      <c r="H10" s="26" t="n">
        <f aca="false">IFERROR(VLOOKUP($C10,①食材库!$B:$F,4,FALSE()),0)</f>
        <v>10</v>
      </c>
      <c r="I10" s="26" t="n">
        <f aca="false">IFERROR(VLOOKUP($C10,①食材库!$B:$F,5,FALSE()),0)</f>
        <v>0.2</v>
      </c>
      <c r="J10" s="26" t="n">
        <f aca="false">ROUND($D10/100*F10,0)</f>
        <v>41</v>
      </c>
      <c r="K10" s="26" t="n">
        <f aca="false">ROUND($D10/100*G10,1)</f>
        <v>0.9</v>
      </c>
      <c r="L10" s="26" t="n">
        <f aca="false">ROUND($D10/100*H10,1)</f>
        <v>10</v>
      </c>
      <c r="M10" s="26" t="n">
        <f aca="false">ROUND($D10/100*I10,1)</f>
        <v>0.2</v>
      </c>
    </row>
    <row r="11" customFormat="false" ht="15" hidden="false" customHeight="true" outlineLevel="0" collapsed="false">
      <c r="A11" s="23" t="s">
        <v>264</v>
      </c>
      <c r="B11" s="23" t="s">
        <v>257</v>
      </c>
      <c r="C11" s="23" t="s">
        <v>47</v>
      </c>
      <c r="D11" s="25" t="n">
        <v>200</v>
      </c>
      <c r="E11" s="25"/>
      <c r="F11" s="26" t="n">
        <f aca="false">IFERROR(VLOOKUP($C11,①食材库!$B:$F,2,FALSE()),0)</f>
        <v>120</v>
      </c>
      <c r="G11" s="26" t="n">
        <f aca="false">IFERROR(VLOOKUP($C11,①食材库!$B:$F,3,FALSE()),0)</f>
        <v>23</v>
      </c>
      <c r="H11" s="26" t="n">
        <f aca="false">IFERROR(VLOOKUP($C11,①食材库!$B:$F,4,FALSE()),0)</f>
        <v>0</v>
      </c>
      <c r="I11" s="26" t="n">
        <f aca="false">IFERROR(VLOOKUP($C11,①食材库!$B:$F,5,FALSE()),0)</f>
        <v>2.6</v>
      </c>
      <c r="J11" s="26" t="n">
        <f aca="false">ROUND($D11/100*F11,0)</f>
        <v>240</v>
      </c>
      <c r="K11" s="26" t="n">
        <f aca="false">ROUND($D11/100*G11,1)</f>
        <v>46</v>
      </c>
      <c r="L11" s="26" t="n">
        <f aca="false">ROUND($D11/100*H11,1)</f>
        <v>0</v>
      </c>
      <c r="M11" s="26" t="n">
        <f aca="false">ROUND($D11/100*I11,1)</f>
        <v>5.2</v>
      </c>
    </row>
    <row r="12" customFormat="false" ht="15" hidden="false" customHeight="true" outlineLevel="0" collapsed="false">
      <c r="A12" s="23" t="s">
        <v>264</v>
      </c>
      <c r="B12" s="23" t="s">
        <v>257</v>
      </c>
      <c r="C12" s="23" t="s">
        <v>138</v>
      </c>
      <c r="D12" s="25" t="n">
        <v>3</v>
      </c>
      <c r="E12" s="25" t="s">
        <v>261</v>
      </c>
      <c r="F12" s="26" t="n">
        <f aca="false">IFERROR(VLOOKUP($C12,①食材库!$B:$F,2,FALSE()),0)</f>
        <v>884</v>
      </c>
      <c r="G12" s="26" t="n">
        <f aca="false">IFERROR(VLOOKUP($C12,①食材库!$B:$F,3,FALSE()),0)</f>
        <v>0</v>
      </c>
      <c r="H12" s="26" t="n">
        <f aca="false">IFERROR(VLOOKUP($C12,①食材库!$B:$F,4,FALSE()),0)</f>
        <v>0</v>
      </c>
      <c r="I12" s="26" t="n">
        <f aca="false">IFERROR(VLOOKUP($C12,①食材库!$B:$F,5,FALSE()),0)</f>
        <v>100</v>
      </c>
      <c r="J12" s="26" t="n">
        <f aca="false">ROUND($D12/100*F12,0)</f>
        <v>27</v>
      </c>
      <c r="K12" s="26" t="n">
        <f aca="false">ROUND($D12/100*G12,1)</f>
        <v>0</v>
      </c>
      <c r="L12" s="26" t="n">
        <f aca="false">ROUND($D12/100*H12,1)</f>
        <v>0</v>
      </c>
      <c r="M12" s="26" t="n">
        <f aca="false">ROUND($D12/100*I12,1)</f>
        <v>3</v>
      </c>
    </row>
    <row r="13" customFormat="false" ht="15" hidden="false" customHeight="true" outlineLevel="0" collapsed="false">
      <c r="A13" s="27" t="s">
        <v>265</v>
      </c>
      <c r="B13" s="27" t="s">
        <v>257</v>
      </c>
      <c r="C13" s="27" t="s">
        <v>64</v>
      </c>
      <c r="D13" s="29" t="n">
        <v>200</v>
      </c>
      <c r="E13" s="29"/>
      <c r="F13" s="26" t="n">
        <f aca="false">IFERROR(VLOOKUP($C13,①食材库!$B:$F,2,FALSE()),0)</f>
        <v>85</v>
      </c>
      <c r="G13" s="26" t="n">
        <f aca="false">IFERROR(VLOOKUP($C13,①食材库!$B:$F,3,FALSE()),0)</f>
        <v>20</v>
      </c>
      <c r="H13" s="26" t="n">
        <f aca="false">IFERROR(VLOOKUP($C13,①食材库!$B:$F,4,FALSE()),0)</f>
        <v>0</v>
      </c>
      <c r="I13" s="26" t="n">
        <f aca="false">IFERROR(VLOOKUP($C13,①食材库!$B:$F,5,FALSE()),0)</f>
        <v>0.5</v>
      </c>
      <c r="J13" s="26" t="n">
        <f aca="false">ROUND($D13/100*F13,0)</f>
        <v>170</v>
      </c>
      <c r="K13" s="26" t="n">
        <f aca="false">ROUND($D13/100*G13,1)</f>
        <v>40</v>
      </c>
      <c r="L13" s="26" t="n">
        <f aca="false">ROUND($D13/100*H13,1)</f>
        <v>0</v>
      </c>
      <c r="M13" s="26" t="n">
        <f aca="false">ROUND($D13/100*I13,1)</f>
        <v>1</v>
      </c>
    </row>
    <row r="14" customFormat="false" ht="15" hidden="false" customHeight="true" outlineLevel="0" collapsed="false">
      <c r="A14" s="23" t="s">
        <v>266</v>
      </c>
      <c r="B14" s="23" t="s">
        <v>257</v>
      </c>
      <c r="C14" s="23" t="s">
        <v>66</v>
      </c>
      <c r="D14" s="25" t="n">
        <v>250</v>
      </c>
      <c r="E14" s="25"/>
      <c r="F14" s="26" t="n">
        <f aca="false">IFERROR(VLOOKUP($C14,①食材库!$B:$F,2,FALSE()),0)</f>
        <v>90</v>
      </c>
      <c r="G14" s="26" t="n">
        <f aca="false">IFERROR(VLOOKUP($C14,①食材库!$B:$F,3,FALSE()),0)</f>
        <v>20</v>
      </c>
      <c r="H14" s="26" t="n">
        <f aca="false">IFERROR(VLOOKUP($C14,①食材库!$B:$F,4,FALSE()),0)</f>
        <v>0</v>
      </c>
      <c r="I14" s="26" t="n">
        <f aca="false">IFERROR(VLOOKUP($C14,①食材库!$B:$F,5,FALSE()),0)</f>
        <v>1</v>
      </c>
      <c r="J14" s="26" t="n">
        <f aca="false">ROUND($D14/100*F14,0)</f>
        <v>225</v>
      </c>
      <c r="K14" s="26" t="n">
        <f aca="false">ROUND($D14/100*G14,1)</f>
        <v>50</v>
      </c>
      <c r="L14" s="26" t="n">
        <f aca="false">ROUND($D14/100*H14,1)</f>
        <v>0</v>
      </c>
      <c r="M14" s="26" t="n">
        <f aca="false">ROUND($D14/100*I14,1)</f>
        <v>2.5</v>
      </c>
    </row>
    <row r="15" customFormat="false" ht="15" hidden="false" customHeight="true" outlineLevel="0" collapsed="false">
      <c r="A15" s="27" t="s">
        <v>267</v>
      </c>
      <c r="B15" s="27" t="s">
        <v>257</v>
      </c>
      <c r="C15" s="27" t="s">
        <v>55</v>
      </c>
      <c r="D15" s="29" t="n">
        <v>150</v>
      </c>
      <c r="E15" s="29"/>
      <c r="F15" s="26" t="n">
        <f aca="false">IFERROR(VLOOKUP($C15,①食材库!$B:$F,2,FALSE()),0)</f>
        <v>152</v>
      </c>
      <c r="G15" s="26" t="n">
        <f aca="false">IFERROR(VLOOKUP($C15,①食材库!$B:$F,3,FALSE()),0)</f>
        <v>21</v>
      </c>
      <c r="H15" s="26" t="n">
        <f aca="false">IFERROR(VLOOKUP($C15,①食材库!$B:$F,4,FALSE()),0)</f>
        <v>0</v>
      </c>
      <c r="I15" s="26" t="n">
        <f aca="false">IFERROR(VLOOKUP($C15,①食材库!$B:$F,5,FALSE()),0)</f>
        <v>7</v>
      </c>
      <c r="J15" s="26" t="n">
        <f aca="false">ROUND($D15/100*F15,0)</f>
        <v>228</v>
      </c>
      <c r="K15" s="26" t="n">
        <f aca="false">ROUND($D15/100*G15,1)</f>
        <v>31.5</v>
      </c>
      <c r="L15" s="26" t="n">
        <f aca="false">ROUND($D15/100*H15,1)</f>
        <v>0</v>
      </c>
      <c r="M15" s="26" t="n">
        <f aca="false">ROUND($D15/100*I15,1)</f>
        <v>10.5</v>
      </c>
    </row>
    <row r="16" customFormat="false" ht="15" hidden="false" customHeight="true" outlineLevel="0" collapsed="false">
      <c r="A16" s="27" t="s">
        <v>267</v>
      </c>
      <c r="B16" s="27" t="s">
        <v>257</v>
      </c>
      <c r="C16" s="27" t="s">
        <v>172</v>
      </c>
      <c r="D16" s="29" t="n">
        <v>150</v>
      </c>
      <c r="E16" s="29"/>
      <c r="F16" s="26" t="n">
        <f aca="false">IFERROR(VLOOKUP($C16,①食材库!$B:$F,2,FALSE()),0)</f>
        <v>30</v>
      </c>
      <c r="G16" s="26" t="n">
        <f aca="false">IFERROR(VLOOKUP($C16,①食材库!$B:$F,3,FALSE()),0)</f>
        <v>3</v>
      </c>
      <c r="H16" s="26" t="n">
        <f aca="false">IFERROR(VLOOKUP($C16,①食材库!$B:$F,4,FALSE()),0)</f>
        <v>6</v>
      </c>
      <c r="I16" s="26" t="n">
        <f aca="false">IFERROR(VLOOKUP($C16,①食材库!$B:$F,5,FALSE()),0)</f>
        <v>0.2</v>
      </c>
      <c r="J16" s="26" t="n">
        <f aca="false">ROUND($D16/100*F16,0)</f>
        <v>45</v>
      </c>
      <c r="K16" s="26" t="n">
        <f aca="false">ROUND($D16/100*G16,1)</f>
        <v>4.5</v>
      </c>
      <c r="L16" s="26" t="n">
        <f aca="false">ROUND($D16/100*H16,1)</f>
        <v>9</v>
      </c>
      <c r="M16" s="26" t="n">
        <f aca="false">ROUND($D16/100*I16,1)</f>
        <v>0.3</v>
      </c>
    </row>
    <row r="17" customFormat="false" ht="15" hidden="false" customHeight="true" outlineLevel="0" collapsed="false">
      <c r="A17" s="27" t="s">
        <v>267</v>
      </c>
      <c r="B17" s="27" t="s">
        <v>257</v>
      </c>
      <c r="C17" s="27" t="s">
        <v>138</v>
      </c>
      <c r="D17" s="29" t="n">
        <v>3</v>
      </c>
      <c r="E17" s="29"/>
      <c r="F17" s="26" t="n">
        <f aca="false">IFERROR(VLOOKUP($C17,①食材库!$B:$F,2,FALSE()),0)</f>
        <v>884</v>
      </c>
      <c r="G17" s="26" t="n">
        <f aca="false">IFERROR(VLOOKUP($C17,①食材库!$B:$F,3,FALSE()),0)</f>
        <v>0</v>
      </c>
      <c r="H17" s="26" t="n">
        <f aca="false">IFERROR(VLOOKUP($C17,①食材库!$B:$F,4,FALSE()),0)</f>
        <v>0</v>
      </c>
      <c r="I17" s="26" t="n">
        <f aca="false">IFERROR(VLOOKUP($C17,①食材库!$B:$F,5,FALSE()),0)</f>
        <v>100</v>
      </c>
      <c r="J17" s="26" t="n">
        <f aca="false">ROUND($D17/100*F17,0)</f>
        <v>27</v>
      </c>
      <c r="K17" s="26" t="n">
        <f aca="false">ROUND($D17/100*G17,1)</f>
        <v>0</v>
      </c>
      <c r="L17" s="26" t="n">
        <f aca="false">ROUND($D17/100*H17,1)</f>
        <v>0</v>
      </c>
      <c r="M17" s="26" t="n">
        <f aca="false">ROUND($D17/100*I17,1)</f>
        <v>3</v>
      </c>
    </row>
    <row r="18" customFormat="false" ht="15" hidden="false" customHeight="true" outlineLevel="0" collapsed="false">
      <c r="A18" s="23" t="s">
        <v>268</v>
      </c>
      <c r="B18" s="23" t="s">
        <v>257</v>
      </c>
      <c r="C18" s="23" t="s">
        <v>72</v>
      </c>
      <c r="D18" s="25" t="n">
        <v>150</v>
      </c>
      <c r="E18" s="24" t="s">
        <v>269</v>
      </c>
      <c r="F18" s="26" t="n">
        <f aca="false">IFERROR(VLOOKUP($C18,①食材库!$B:$F,2,FALSE()),0)</f>
        <v>144</v>
      </c>
      <c r="G18" s="26" t="n">
        <f aca="false">IFERROR(VLOOKUP($C18,①食材库!$B:$F,3,FALSE()),0)</f>
        <v>12.6</v>
      </c>
      <c r="H18" s="26" t="n">
        <f aca="false">IFERROR(VLOOKUP($C18,①食材库!$B:$F,4,FALSE()),0)</f>
        <v>0.8</v>
      </c>
      <c r="I18" s="26" t="n">
        <f aca="false">IFERROR(VLOOKUP($C18,①食材库!$B:$F,5,FALSE()),0)</f>
        <v>9.6</v>
      </c>
      <c r="J18" s="26" t="n">
        <f aca="false">ROUND($D18/100*F18,0)</f>
        <v>216</v>
      </c>
      <c r="K18" s="26" t="n">
        <f aca="false">ROUND($D18/100*G18,1)</f>
        <v>18.9</v>
      </c>
      <c r="L18" s="26" t="n">
        <f aca="false">ROUND($D18/100*H18,1)</f>
        <v>1.2</v>
      </c>
      <c r="M18" s="26" t="n">
        <f aca="false">ROUND($D18/100*I18,1)</f>
        <v>14.4</v>
      </c>
    </row>
    <row r="19" customFormat="false" ht="15" hidden="false" customHeight="true" outlineLevel="0" collapsed="false">
      <c r="A19" s="23" t="s">
        <v>268</v>
      </c>
      <c r="B19" s="23" t="s">
        <v>257</v>
      </c>
      <c r="C19" s="23" t="s">
        <v>157</v>
      </c>
      <c r="D19" s="25" t="n">
        <v>200</v>
      </c>
      <c r="E19" s="25"/>
      <c r="F19" s="26" t="n">
        <f aca="false">IFERROR(VLOOKUP($C19,①食材库!$B:$F,2,FALSE()),0)</f>
        <v>18</v>
      </c>
      <c r="G19" s="26" t="n">
        <f aca="false">IFERROR(VLOOKUP($C19,①食材库!$B:$F,3,FALSE()),0)</f>
        <v>0.9</v>
      </c>
      <c r="H19" s="26" t="n">
        <f aca="false">IFERROR(VLOOKUP($C19,①食材库!$B:$F,4,FALSE()),0)</f>
        <v>3.9</v>
      </c>
      <c r="I19" s="26" t="n">
        <f aca="false">IFERROR(VLOOKUP($C19,①食材库!$B:$F,5,FALSE()),0)</f>
        <v>0.2</v>
      </c>
      <c r="J19" s="26" t="n">
        <f aca="false">ROUND($D19/100*F19,0)</f>
        <v>36</v>
      </c>
      <c r="K19" s="26" t="n">
        <f aca="false">ROUND($D19/100*G19,1)</f>
        <v>1.8</v>
      </c>
      <c r="L19" s="26" t="n">
        <f aca="false">ROUND($D19/100*H19,1)</f>
        <v>7.8</v>
      </c>
      <c r="M19" s="26" t="n">
        <f aca="false">ROUND($D19/100*I19,1)</f>
        <v>0.4</v>
      </c>
    </row>
    <row r="20" customFormat="false" ht="15" hidden="false" customHeight="true" outlineLevel="0" collapsed="false">
      <c r="A20" s="23" t="s">
        <v>268</v>
      </c>
      <c r="B20" s="23" t="s">
        <v>257</v>
      </c>
      <c r="C20" s="23" t="s">
        <v>138</v>
      </c>
      <c r="D20" s="25" t="n">
        <v>3</v>
      </c>
      <c r="E20" s="25"/>
      <c r="F20" s="26" t="n">
        <f aca="false">IFERROR(VLOOKUP($C20,①食材库!$B:$F,2,FALSE()),0)</f>
        <v>884</v>
      </c>
      <c r="G20" s="26" t="n">
        <f aca="false">IFERROR(VLOOKUP($C20,①食材库!$B:$F,3,FALSE()),0)</f>
        <v>0</v>
      </c>
      <c r="H20" s="26" t="n">
        <f aca="false">IFERROR(VLOOKUP($C20,①食材库!$B:$F,4,FALSE()),0)</f>
        <v>0</v>
      </c>
      <c r="I20" s="26" t="n">
        <f aca="false">IFERROR(VLOOKUP($C20,①食材库!$B:$F,5,FALSE()),0)</f>
        <v>100</v>
      </c>
      <c r="J20" s="26" t="n">
        <f aca="false">ROUND($D20/100*F20,0)</f>
        <v>27</v>
      </c>
      <c r="K20" s="26" t="n">
        <f aca="false">ROUND($D20/100*G20,1)</f>
        <v>0</v>
      </c>
      <c r="L20" s="26" t="n">
        <f aca="false">ROUND($D20/100*H20,1)</f>
        <v>0</v>
      </c>
      <c r="M20" s="26" t="n">
        <f aca="false">ROUND($D20/100*I20,1)</f>
        <v>3</v>
      </c>
    </row>
    <row r="21" customFormat="false" ht="15" hidden="false" customHeight="true" outlineLevel="0" collapsed="false">
      <c r="A21" s="27" t="s">
        <v>270</v>
      </c>
      <c r="B21" s="27" t="s">
        <v>257</v>
      </c>
      <c r="C21" s="27" t="s">
        <v>60</v>
      </c>
      <c r="D21" s="29" t="n">
        <v>300</v>
      </c>
      <c r="E21" s="29"/>
      <c r="F21" s="26" t="n">
        <f aca="false">IFERROR(VLOOKUP($C21,①食材库!$B:$F,2,FALSE()),0)</f>
        <v>150</v>
      </c>
      <c r="G21" s="26" t="n">
        <f aca="false">IFERROR(VLOOKUP($C21,①食材库!$B:$F,3,FALSE()),0)</f>
        <v>20</v>
      </c>
      <c r="H21" s="26" t="n">
        <f aca="false">IFERROR(VLOOKUP($C21,①食材库!$B:$F,4,FALSE()),0)</f>
        <v>0</v>
      </c>
      <c r="I21" s="26" t="n">
        <f aca="false">IFERROR(VLOOKUP($C21,①食材库!$B:$F,5,FALSE()),0)</f>
        <v>7</v>
      </c>
      <c r="J21" s="26" t="n">
        <f aca="false">ROUND($D21/100*F21,0)</f>
        <v>450</v>
      </c>
      <c r="K21" s="26" t="n">
        <f aca="false">ROUND($D21/100*G21,1)</f>
        <v>60</v>
      </c>
      <c r="L21" s="26" t="n">
        <f aca="false">ROUND($D21/100*H21,1)</f>
        <v>0</v>
      </c>
      <c r="M21" s="26" t="n">
        <f aca="false">ROUND($D21/100*I21,1)</f>
        <v>21</v>
      </c>
    </row>
    <row r="22" customFormat="false" ht="15" hidden="false" customHeight="true" outlineLevel="0" collapsed="false">
      <c r="A22" s="23" t="s">
        <v>271</v>
      </c>
      <c r="B22" s="23" t="s">
        <v>257</v>
      </c>
      <c r="C22" s="23" t="s">
        <v>62</v>
      </c>
      <c r="D22" s="25" t="n">
        <v>200</v>
      </c>
      <c r="E22" s="25"/>
      <c r="F22" s="26" t="n">
        <f aca="false">IFERROR(VLOOKUP($C22,①食材库!$B:$F,2,FALSE()),0)</f>
        <v>208</v>
      </c>
      <c r="G22" s="26" t="n">
        <f aca="false">IFERROR(VLOOKUP($C22,①食材库!$B:$F,3,FALSE()),0)</f>
        <v>20</v>
      </c>
      <c r="H22" s="26" t="n">
        <f aca="false">IFERROR(VLOOKUP($C22,①食材库!$B:$F,4,FALSE()),0)</f>
        <v>0</v>
      </c>
      <c r="I22" s="26" t="n">
        <f aca="false">IFERROR(VLOOKUP($C22,①食材库!$B:$F,5,FALSE()),0)</f>
        <v>13</v>
      </c>
      <c r="J22" s="26" t="n">
        <f aca="false">ROUND($D22/100*F22,0)</f>
        <v>416</v>
      </c>
      <c r="K22" s="26" t="n">
        <f aca="false">ROUND($D22/100*G22,1)</f>
        <v>40</v>
      </c>
      <c r="L22" s="26" t="n">
        <f aca="false">ROUND($D22/100*H22,1)</f>
        <v>0</v>
      </c>
      <c r="M22" s="26" t="n">
        <f aca="false">ROUND($D22/100*I22,1)</f>
        <v>26</v>
      </c>
    </row>
    <row r="23" customFormat="false" ht="15" hidden="false" customHeight="true" outlineLevel="0" collapsed="false">
      <c r="A23" s="23" t="s">
        <v>271</v>
      </c>
      <c r="B23" s="23" t="s">
        <v>257</v>
      </c>
      <c r="C23" s="23" t="s">
        <v>138</v>
      </c>
      <c r="D23" s="25" t="n">
        <v>3</v>
      </c>
      <c r="E23" s="25"/>
      <c r="F23" s="26" t="n">
        <f aca="false">IFERROR(VLOOKUP($C23,①食材库!$B:$F,2,FALSE()),0)</f>
        <v>884</v>
      </c>
      <c r="G23" s="26" t="n">
        <f aca="false">IFERROR(VLOOKUP($C23,①食材库!$B:$F,3,FALSE()),0)</f>
        <v>0</v>
      </c>
      <c r="H23" s="26" t="n">
        <f aca="false">IFERROR(VLOOKUP($C23,①食材库!$B:$F,4,FALSE()),0)</f>
        <v>0</v>
      </c>
      <c r="I23" s="26" t="n">
        <f aca="false">IFERROR(VLOOKUP($C23,①食材库!$B:$F,5,FALSE()),0)</f>
        <v>100</v>
      </c>
      <c r="J23" s="26" t="n">
        <f aca="false">ROUND($D23/100*F23,0)</f>
        <v>27</v>
      </c>
      <c r="K23" s="26" t="n">
        <f aca="false">ROUND($D23/100*G23,1)</f>
        <v>0</v>
      </c>
      <c r="L23" s="26" t="n">
        <f aca="false">ROUND($D23/100*H23,1)</f>
        <v>0</v>
      </c>
      <c r="M23" s="26" t="n">
        <f aca="false">ROUND($D23/100*I23,1)</f>
        <v>3</v>
      </c>
    </row>
    <row r="24" customFormat="false" ht="15" hidden="false" customHeight="true" outlineLevel="0" collapsed="false">
      <c r="A24" s="27" t="s">
        <v>272</v>
      </c>
      <c r="B24" s="27" t="s">
        <v>257</v>
      </c>
      <c r="C24" s="27" t="s">
        <v>47</v>
      </c>
      <c r="D24" s="29" t="n">
        <v>200</v>
      </c>
      <c r="E24" s="29"/>
      <c r="F24" s="26" t="n">
        <f aca="false">IFERROR(VLOOKUP($C24,①食材库!$B:$F,2,FALSE()),0)</f>
        <v>120</v>
      </c>
      <c r="G24" s="26" t="n">
        <f aca="false">IFERROR(VLOOKUP($C24,①食材库!$B:$F,3,FALSE()),0)</f>
        <v>23</v>
      </c>
      <c r="H24" s="26" t="n">
        <f aca="false">IFERROR(VLOOKUP($C24,①食材库!$B:$F,4,FALSE()),0)</f>
        <v>0</v>
      </c>
      <c r="I24" s="26" t="n">
        <f aca="false">IFERROR(VLOOKUP($C24,①食材库!$B:$F,5,FALSE()),0)</f>
        <v>2.6</v>
      </c>
      <c r="J24" s="26" t="n">
        <f aca="false">ROUND($D24/100*F24,0)</f>
        <v>240</v>
      </c>
      <c r="K24" s="26" t="n">
        <f aca="false">ROUND($D24/100*G24,1)</f>
        <v>46</v>
      </c>
      <c r="L24" s="26" t="n">
        <f aca="false">ROUND($D24/100*H24,1)</f>
        <v>0</v>
      </c>
      <c r="M24" s="26" t="n">
        <f aca="false">ROUND($D24/100*I24,1)</f>
        <v>5.2</v>
      </c>
    </row>
    <row r="25" customFormat="false" ht="15" hidden="false" customHeight="true" outlineLevel="0" collapsed="false">
      <c r="A25" s="27" t="s">
        <v>272</v>
      </c>
      <c r="B25" s="27" t="s">
        <v>257</v>
      </c>
      <c r="C25" s="27" t="s">
        <v>155</v>
      </c>
      <c r="D25" s="29" t="n">
        <v>150</v>
      </c>
      <c r="E25" s="29"/>
      <c r="F25" s="26" t="n">
        <f aca="false">IFERROR(VLOOKUP($C25,①食材库!$B:$F,2,FALSE()),0)</f>
        <v>31</v>
      </c>
      <c r="G25" s="26" t="n">
        <f aca="false">IFERROR(VLOOKUP($C25,①食材库!$B:$F,3,FALSE()),0)</f>
        <v>1</v>
      </c>
      <c r="H25" s="26" t="n">
        <f aca="false">IFERROR(VLOOKUP($C25,①食材库!$B:$F,4,FALSE()),0)</f>
        <v>6</v>
      </c>
      <c r="I25" s="26" t="n">
        <f aca="false">IFERROR(VLOOKUP($C25,①食材库!$B:$F,5,FALSE()),0)</f>
        <v>0.3</v>
      </c>
      <c r="J25" s="26" t="n">
        <f aca="false">ROUND($D25/100*F25,0)</f>
        <v>47</v>
      </c>
      <c r="K25" s="26" t="n">
        <f aca="false">ROUND($D25/100*G25,1)</f>
        <v>1.5</v>
      </c>
      <c r="L25" s="26" t="n">
        <f aca="false">ROUND($D25/100*H25,1)</f>
        <v>9</v>
      </c>
      <c r="M25" s="26" t="n">
        <f aca="false">ROUND($D25/100*I25,1)</f>
        <v>0.5</v>
      </c>
    </row>
    <row r="26" customFormat="false" ht="15" hidden="false" customHeight="true" outlineLevel="0" collapsed="false">
      <c r="A26" s="27" t="s">
        <v>272</v>
      </c>
      <c r="B26" s="27" t="s">
        <v>257</v>
      </c>
      <c r="C26" s="27" t="s">
        <v>138</v>
      </c>
      <c r="D26" s="29" t="n">
        <v>3</v>
      </c>
      <c r="E26" s="29"/>
      <c r="F26" s="26" t="n">
        <f aca="false">IFERROR(VLOOKUP($C26,①食材库!$B:$F,2,FALSE()),0)</f>
        <v>884</v>
      </c>
      <c r="G26" s="26" t="n">
        <f aca="false">IFERROR(VLOOKUP($C26,①食材库!$B:$F,3,FALSE()),0)</f>
        <v>0</v>
      </c>
      <c r="H26" s="26" t="n">
        <f aca="false">IFERROR(VLOOKUP($C26,①食材库!$B:$F,4,FALSE()),0)</f>
        <v>0</v>
      </c>
      <c r="I26" s="26" t="n">
        <f aca="false">IFERROR(VLOOKUP($C26,①食材库!$B:$F,5,FALSE()),0)</f>
        <v>100</v>
      </c>
      <c r="J26" s="26" t="n">
        <f aca="false">ROUND($D26/100*F26,0)</f>
        <v>27</v>
      </c>
      <c r="K26" s="26" t="n">
        <f aca="false">ROUND($D26/100*G26,1)</f>
        <v>0</v>
      </c>
      <c r="L26" s="26" t="n">
        <f aca="false">ROUND($D26/100*H26,1)</f>
        <v>0</v>
      </c>
      <c r="M26" s="26" t="n">
        <f aca="false">ROUND($D26/100*I26,1)</f>
        <v>3</v>
      </c>
    </row>
    <row r="27" customFormat="false" ht="15" hidden="false" customHeight="true" outlineLevel="0" collapsed="false">
      <c r="A27" s="23" t="s">
        <v>273</v>
      </c>
      <c r="B27" s="23" t="s">
        <v>145</v>
      </c>
      <c r="C27" s="23" t="s">
        <v>146</v>
      </c>
      <c r="D27" s="25" t="n">
        <v>250</v>
      </c>
      <c r="E27" s="25"/>
      <c r="F27" s="26" t="n">
        <f aca="false">IFERROR(VLOOKUP($C27,①食材库!$B:$F,2,FALSE()),0)</f>
        <v>34</v>
      </c>
      <c r="G27" s="26" t="n">
        <f aca="false">IFERROR(VLOOKUP($C27,①食材库!$B:$F,3,FALSE()),0)</f>
        <v>2.8</v>
      </c>
      <c r="H27" s="26" t="n">
        <f aca="false">IFERROR(VLOOKUP($C27,①食材库!$B:$F,4,FALSE()),0)</f>
        <v>7</v>
      </c>
      <c r="I27" s="26" t="n">
        <f aca="false">IFERROR(VLOOKUP($C27,①食材库!$B:$F,5,FALSE()),0)</f>
        <v>0.4</v>
      </c>
      <c r="J27" s="26" t="n">
        <f aca="false">ROUND($D27/100*F27,0)</f>
        <v>85</v>
      </c>
      <c r="K27" s="26" t="n">
        <f aca="false">ROUND($D27/100*G27,1)</f>
        <v>7</v>
      </c>
      <c r="L27" s="26" t="n">
        <f aca="false">ROUND($D27/100*H27,1)</f>
        <v>17.5</v>
      </c>
      <c r="M27" s="26" t="n">
        <f aca="false">ROUND($D27/100*I27,1)</f>
        <v>1</v>
      </c>
    </row>
    <row r="28" customFormat="false" ht="15" hidden="false" customHeight="true" outlineLevel="0" collapsed="false">
      <c r="A28" s="23" t="s">
        <v>273</v>
      </c>
      <c r="B28" s="23" t="s">
        <v>145</v>
      </c>
      <c r="C28" s="23" t="s">
        <v>138</v>
      </c>
      <c r="D28" s="25" t="n">
        <v>3</v>
      </c>
      <c r="E28" s="25"/>
      <c r="F28" s="26" t="n">
        <f aca="false">IFERROR(VLOOKUP($C28,①食材库!$B:$F,2,FALSE()),0)</f>
        <v>884</v>
      </c>
      <c r="G28" s="26" t="n">
        <f aca="false">IFERROR(VLOOKUP($C28,①食材库!$B:$F,3,FALSE()),0)</f>
        <v>0</v>
      </c>
      <c r="H28" s="26" t="n">
        <f aca="false">IFERROR(VLOOKUP($C28,①食材库!$B:$F,4,FALSE()),0)</f>
        <v>0</v>
      </c>
      <c r="I28" s="26" t="n">
        <f aca="false">IFERROR(VLOOKUP($C28,①食材库!$B:$F,5,FALSE()),0)</f>
        <v>100</v>
      </c>
      <c r="J28" s="26" t="n">
        <f aca="false">ROUND($D28/100*F28,0)</f>
        <v>27</v>
      </c>
      <c r="K28" s="26" t="n">
        <f aca="false">ROUND($D28/100*G28,1)</f>
        <v>0</v>
      </c>
      <c r="L28" s="26" t="n">
        <f aca="false">ROUND($D28/100*H28,1)</f>
        <v>0</v>
      </c>
      <c r="M28" s="26" t="n">
        <f aca="false">ROUND($D28/100*I28,1)</f>
        <v>3</v>
      </c>
    </row>
    <row r="29" customFormat="false" ht="15" hidden="false" customHeight="true" outlineLevel="0" collapsed="false">
      <c r="A29" s="27" t="s">
        <v>274</v>
      </c>
      <c r="B29" s="27" t="s">
        <v>145</v>
      </c>
      <c r="C29" s="27" t="s">
        <v>149</v>
      </c>
      <c r="D29" s="29" t="n">
        <v>200</v>
      </c>
      <c r="E29" s="29"/>
      <c r="F29" s="26" t="n">
        <f aca="false">IFERROR(VLOOKUP($C29,①食材库!$B:$F,2,FALSE()),0)</f>
        <v>23</v>
      </c>
      <c r="G29" s="26" t="n">
        <f aca="false">IFERROR(VLOOKUP($C29,①食材库!$B:$F,3,FALSE()),0)</f>
        <v>2.9</v>
      </c>
      <c r="H29" s="26" t="n">
        <f aca="false">IFERROR(VLOOKUP($C29,①食材库!$B:$F,4,FALSE()),0)</f>
        <v>3.6</v>
      </c>
      <c r="I29" s="26" t="n">
        <f aca="false">IFERROR(VLOOKUP($C29,①食材库!$B:$F,5,FALSE()),0)</f>
        <v>0.4</v>
      </c>
      <c r="J29" s="26" t="n">
        <f aca="false">ROUND($D29/100*F29,0)</f>
        <v>46</v>
      </c>
      <c r="K29" s="26" t="n">
        <f aca="false">ROUND($D29/100*G29,1)</f>
        <v>5.8</v>
      </c>
      <c r="L29" s="26" t="n">
        <f aca="false">ROUND($D29/100*H29,1)</f>
        <v>7.2</v>
      </c>
      <c r="M29" s="26" t="n">
        <f aca="false">ROUND($D29/100*I29,1)</f>
        <v>0.8</v>
      </c>
    </row>
    <row r="30" customFormat="false" ht="15" hidden="false" customHeight="true" outlineLevel="0" collapsed="false">
      <c r="A30" s="27" t="s">
        <v>274</v>
      </c>
      <c r="B30" s="27" t="s">
        <v>145</v>
      </c>
      <c r="C30" s="27" t="s">
        <v>138</v>
      </c>
      <c r="D30" s="29" t="n">
        <v>3</v>
      </c>
      <c r="E30" s="29"/>
      <c r="F30" s="26" t="n">
        <f aca="false">IFERROR(VLOOKUP($C30,①食材库!$B:$F,2,FALSE()),0)</f>
        <v>884</v>
      </c>
      <c r="G30" s="26" t="n">
        <f aca="false">IFERROR(VLOOKUP($C30,①食材库!$B:$F,3,FALSE()),0)</f>
        <v>0</v>
      </c>
      <c r="H30" s="26" t="n">
        <f aca="false">IFERROR(VLOOKUP($C30,①食材库!$B:$F,4,FALSE()),0)</f>
        <v>0</v>
      </c>
      <c r="I30" s="26" t="n">
        <f aca="false">IFERROR(VLOOKUP($C30,①食材库!$B:$F,5,FALSE()),0)</f>
        <v>100</v>
      </c>
      <c r="J30" s="26" t="n">
        <f aca="false">ROUND($D30/100*F30,0)</f>
        <v>27</v>
      </c>
      <c r="K30" s="26" t="n">
        <f aca="false">ROUND($D30/100*G30,1)</f>
        <v>0</v>
      </c>
      <c r="L30" s="26" t="n">
        <f aca="false">ROUND($D30/100*H30,1)</f>
        <v>0</v>
      </c>
      <c r="M30" s="26" t="n">
        <f aca="false">ROUND($D30/100*I30,1)</f>
        <v>3</v>
      </c>
    </row>
    <row r="31" customFormat="false" ht="15" hidden="false" customHeight="true" outlineLevel="0" collapsed="false">
      <c r="A31" s="23" t="s">
        <v>275</v>
      </c>
      <c r="B31" s="23" t="s">
        <v>145</v>
      </c>
      <c r="C31" s="23" t="s">
        <v>154</v>
      </c>
      <c r="D31" s="25" t="n">
        <v>200</v>
      </c>
      <c r="E31" s="25"/>
      <c r="F31" s="26" t="n">
        <f aca="false">IFERROR(VLOOKUP($C31,①食材库!$B:$F,2,FALSE()),0)</f>
        <v>15</v>
      </c>
      <c r="G31" s="26" t="n">
        <f aca="false">IFERROR(VLOOKUP($C31,①食材库!$B:$F,3,FALSE()),0)</f>
        <v>0.7</v>
      </c>
      <c r="H31" s="26" t="n">
        <f aca="false">IFERROR(VLOOKUP($C31,①食材库!$B:$F,4,FALSE()),0)</f>
        <v>3.6</v>
      </c>
      <c r="I31" s="26" t="n">
        <f aca="false">IFERROR(VLOOKUP($C31,①食材库!$B:$F,5,FALSE()),0)</f>
        <v>0.1</v>
      </c>
      <c r="J31" s="26" t="n">
        <f aca="false">ROUND($D31/100*F31,0)</f>
        <v>30</v>
      </c>
      <c r="K31" s="26" t="n">
        <f aca="false">ROUND($D31/100*G31,1)</f>
        <v>1.4</v>
      </c>
      <c r="L31" s="26" t="n">
        <f aca="false">ROUND($D31/100*H31,1)</f>
        <v>7.2</v>
      </c>
      <c r="M31" s="26" t="n">
        <f aca="false">ROUND($D31/100*I31,1)</f>
        <v>0.2</v>
      </c>
    </row>
    <row r="32" customFormat="false" ht="15" hidden="false" customHeight="true" outlineLevel="0" collapsed="false">
      <c r="A32" s="23" t="s">
        <v>275</v>
      </c>
      <c r="B32" s="23" t="s">
        <v>145</v>
      </c>
      <c r="C32" s="23" t="s">
        <v>195</v>
      </c>
      <c r="D32" s="25" t="n">
        <v>10</v>
      </c>
      <c r="E32" s="25"/>
      <c r="F32" s="26" t="n">
        <f aca="false">IFERROR(VLOOKUP($C32,①食材库!$B:$F,2,FALSE()),0)</f>
        <v>88</v>
      </c>
      <c r="G32" s="26" t="n">
        <f aca="false">IFERROR(VLOOKUP($C32,①食材库!$B:$F,3,FALSE()),0)</f>
        <v>0.5</v>
      </c>
      <c r="H32" s="26" t="n">
        <f aca="false">IFERROR(VLOOKUP($C32,①食材库!$B:$F,4,FALSE()),0)</f>
        <v>17</v>
      </c>
      <c r="I32" s="26" t="n">
        <f aca="false">IFERROR(VLOOKUP($C32,①食材库!$B:$F,5,FALSE()),0)</f>
        <v>0</v>
      </c>
      <c r="J32" s="26" t="n">
        <f aca="false">ROUND($D32/100*F32,0)</f>
        <v>9</v>
      </c>
      <c r="K32" s="26" t="n">
        <f aca="false">ROUND($D32/100*G32,1)</f>
        <v>0.1</v>
      </c>
      <c r="L32" s="26" t="n">
        <f aca="false">ROUND($D32/100*H32,1)</f>
        <v>1.7</v>
      </c>
      <c r="M32" s="26" t="n">
        <f aca="false">ROUND($D32/100*I32,1)</f>
        <v>0</v>
      </c>
    </row>
    <row r="33" customFormat="false" ht="15" hidden="false" customHeight="true" outlineLevel="0" collapsed="false">
      <c r="A33" s="27" t="s">
        <v>276</v>
      </c>
      <c r="B33" s="27" t="s">
        <v>145</v>
      </c>
      <c r="C33" s="27" t="s">
        <v>170</v>
      </c>
      <c r="D33" s="29" t="n">
        <v>200</v>
      </c>
      <c r="E33" s="29"/>
      <c r="F33" s="26" t="n">
        <f aca="false">IFERROR(VLOOKUP($C33,①食材库!$B:$F,2,FALSE()),0)</f>
        <v>30</v>
      </c>
      <c r="G33" s="26" t="n">
        <f aca="false">IFERROR(VLOOKUP($C33,①食材库!$B:$F,3,FALSE()),0)</f>
        <v>2.5</v>
      </c>
      <c r="H33" s="26" t="n">
        <f aca="false">IFERROR(VLOOKUP($C33,①食材库!$B:$F,4,FALSE()),0)</f>
        <v>5</v>
      </c>
      <c r="I33" s="26" t="n">
        <f aca="false">IFERROR(VLOOKUP($C33,①食材库!$B:$F,5,FALSE()),0)</f>
        <v>0.3</v>
      </c>
      <c r="J33" s="26" t="n">
        <f aca="false">ROUND($D33/100*F33,0)</f>
        <v>60</v>
      </c>
      <c r="K33" s="26" t="n">
        <f aca="false">ROUND($D33/100*G33,1)</f>
        <v>5</v>
      </c>
      <c r="L33" s="26" t="n">
        <f aca="false">ROUND($D33/100*H33,1)</f>
        <v>10</v>
      </c>
      <c r="M33" s="26" t="n">
        <f aca="false">ROUND($D33/100*I33,1)</f>
        <v>0.6</v>
      </c>
    </row>
    <row r="34" customFormat="false" ht="15" hidden="false" customHeight="true" outlineLevel="0" collapsed="false">
      <c r="A34" s="23" t="s">
        <v>277</v>
      </c>
      <c r="B34" s="23" t="s">
        <v>145</v>
      </c>
      <c r="C34" s="23" t="s">
        <v>159</v>
      </c>
      <c r="D34" s="25" t="n">
        <v>250</v>
      </c>
      <c r="E34" s="25"/>
      <c r="F34" s="26" t="n">
        <f aca="false">IFERROR(VLOOKUP($C34,①食材库!$B:$F,2,FALSE()),0)</f>
        <v>25</v>
      </c>
      <c r="G34" s="26" t="n">
        <f aca="false">IFERROR(VLOOKUP($C34,①食材库!$B:$F,3,FALSE()),0)</f>
        <v>1.3</v>
      </c>
      <c r="H34" s="26" t="n">
        <f aca="false">IFERROR(VLOOKUP($C34,①食材库!$B:$F,4,FALSE()),0)</f>
        <v>6</v>
      </c>
      <c r="I34" s="26" t="n">
        <f aca="false">IFERROR(VLOOKUP($C34,①食材库!$B:$F,5,FALSE()),0)</f>
        <v>0.1</v>
      </c>
      <c r="J34" s="26" t="n">
        <f aca="false">ROUND($D34/100*F34,0)</f>
        <v>63</v>
      </c>
      <c r="K34" s="26" t="n">
        <f aca="false">ROUND($D34/100*G34,1)</f>
        <v>3.3</v>
      </c>
      <c r="L34" s="26" t="n">
        <f aca="false">ROUND($D34/100*H34,1)</f>
        <v>15</v>
      </c>
      <c r="M34" s="26" t="n">
        <f aca="false">ROUND($D34/100*I34,1)</f>
        <v>0.3</v>
      </c>
    </row>
    <row r="35" customFormat="false" ht="15" hidden="false" customHeight="true" outlineLevel="0" collapsed="false">
      <c r="A35" s="23" t="s">
        <v>277</v>
      </c>
      <c r="B35" s="23" t="s">
        <v>145</v>
      </c>
      <c r="C35" s="23" t="s">
        <v>195</v>
      </c>
      <c r="D35" s="25" t="n">
        <v>10</v>
      </c>
      <c r="E35" s="25"/>
      <c r="F35" s="26" t="n">
        <f aca="false">IFERROR(VLOOKUP($C35,①食材库!$B:$F,2,FALSE()),0)</f>
        <v>88</v>
      </c>
      <c r="G35" s="26" t="n">
        <f aca="false">IFERROR(VLOOKUP($C35,①食材库!$B:$F,3,FALSE()),0)</f>
        <v>0.5</v>
      </c>
      <c r="H35" s="26" t="n">
        <f aca="false">IFERROR(VLOOKUP($C35,①食材库!$B:$F,4,FALSE()),0)</f>
        <v>17</v>
      </c>
      <c r="I35" s="26" t="n">
        <f aca="false">IFERROR(VLOOKUP($C35,①食材库!$B:$F,5,FALSE()),0)</f>
        <v>0</v>
      </c>
      <c r="J35" s="26" t="n">
        <f aca="false">ROUND($D35/100*F35,0)</f>
        <v>9</v>
      </c>
      <c r="K35" s="26" t="n">
        <f aca="false">ROUND($D35/100*G35,1)</f>
        <v>0.1</v>
      </c>
      <c r="L35" s="26" t="n">
        <f aca="false">ROUND($D35/100*H35,1)</f>
        <v>1.7</v>
      </c>
      <c r="M35" s="26" t="n">
        <f aca="false">ROUND($D35/100*I35,1)</f>
        <v>0</v>
      </c>
    </row>
    <row r="36" customFormat="false" ht="15" hidden="false" customHeight="true" outlineLevel="0" collapsed="false">
      <c r="A36" s="23" t="s">
        <v>277</v>
      </c>
      <c r="B36" s="23" t="s">
        <v>145</v>
      </c>
      <c r="C36" s="23" t="s">
        <v>138</v>
      </c>
      <c r="D36" s="25" t="n">
        <v>3</v>
      </c>
      <c r="E36" s="25"/>
      <c r="F36" s="26" t="n">
        <f aca="false">IFERROR(VLOOKUP($C36,①食材库!$B:$F,2,FALSE()),0)</f>
        <v>884</v>
      </c>
      <c r="G36" s="26" t="n">
        <f aca="false">IFERROR(VLOOKUP($C36,①食材库!$B:$F,3,FALSE()),0)</f>
        <v>0</v>
      </c>
      <c r="H36" s="26" t="n">
        <f aca="false">IFERROR(VLOOKUP($C36,①食材库!$B:$F,4,FALSE()),0)</f>
        <v>0</v>
      </c>
      <c r="I36" s="26" t="n">
        <f aca="false">IFERROR(VLOOKUP($C36,①食材库!$B:$F,5,FALSE()),0)</f>
        <v>100</v>
      </c>
      <c r="J36" s="26" t="n">
        <f aca="false">ROUND($D36/100*F36,0)</f>
        <v>27</v>
      </c>
      <c r="K36" s="26" t="n">
        <f aca="false">ROUND($D36/100*G36,1)</f>
        <v>0</v>
      </c>
      <c r="L36" s="26" t="n">
        <f aca="false">ROUND($D36/100*H36,1)</f>
        <v>0</v>
      </c>
      <c r="M36" s="26" t="n">
        <f aca="false">ROUND($D36/100*I36,1)</f>
        <v>3</v>
      </c>
    </row>
    <row r="37" customFormat="false" ht="15" hidden="false" customHeight="true" outlineLevel="0" collapsed="false">
      <c r="A37" s="27" t="s">
        <v>278</v>
      </c>
      <c r="B37" s="27" t="s">
        <v>145</v>
      </c>
      <c r="C37" s="27" t="s">
        <v>81</v>
      </c>
      <c r="D37" s="29" t="n">
        <v>200</v>
      </c>
      <c r="E37" s="29"/>
      <c r="F37" s="26" t="n">
        <f aca="false">IFERROR(VLOOKUP($C37,①食材库!$B:$F,2,FALSE()),0)</f>
        <v>55</v>
      </c>
      <c r="G37" s="26" t="n">
        <f aca="false">IFERROR(VLOOKUP($C37,①食材库!$B:$F,3,FALSE()),0)</f>
        <v>5</v>
      </c>
      <c r="H37" s="26" t="n">
        <f aca="false">IFERROR(VLOOKUP($C37,①食材库!$B:$F,4,FALSE()),0)</f>
        <v>2</v>
      </c>
      <c r="I37" s="26" t="n">
        <f aca="false">IFERROR(VLOOKUP($C37,①食材库!$B:$F,5,FALSE()),0)</f>
        <v>2.5</v>
      </c>
      <c r="J37" s="26" t="n">
        <f aca="false">ROUND($D37/100*F37,0)</f>
        <v>110</v>
      </c>
      <c r="K37" s="26" t="n">
        <f aca="false">ROUND($D37/100*G37,1)</f>
        <v>10</v>
      </c>
      <c r="L37" s="26" t="n">
        <f aca="false">ROUND($D37/100*H37,1)</f>
        <v>4</v>
      </c>
      <c r="M37" s="26" t="n">
        <f aca="false">ROUND($D37/100*I37,1)</f>
        <v>5</v>
      </c>
    </row>
    <row r="38" customFormat="false" ht="15" hidden="false" customHeight="true" outlineLevel="0" collapsed="false">
      <c r="A38" s="23" t="s">
        <v>279</v>
      </c>
      <c r="B38" s="23" t="s">
        <v>280</v>
      </c>
      <c r="C38" s="23" t="s">
        <v>162</v>
      </c>
      <c r="D38" s="25" t="n">
        <v>150</v>
      </c>
      <c r="E38" s="25"/>
      <c r="F38" s="26" t="n">
        <f aca="false">IFERROR(VLOOKUP($C38,①食材库!$B:$F,2,FALSE()),0)</f>
        <v>30</v>
      </c>
      <c r="G38" s="26" t="n">
        <f aca="false">IFERROR(VLOOKUP($C38,①食材库!$B:$F,3,FALSE()),0)</f>
        <v>1.6</v>
      </c>
      <c r="H38" s="26" t="n">
        <f aca="false">IFERROR(VLOOKUP($C38,①食材库!$B:$F,4,FALSE()),0)</f>
        <v>6</v>
      </c>
      <c r="I38" s="26" t="n">
        <f aca="false">IFERROR(VLOOKUP($C38,①食材库!$B:$F,5,FALSE()),0)</f>
        <v>0.5</v>
      </c>
      <c r="J38" s="26" t="n">
        <f aca="false">ROUND($D38/100*F38,0)</f>
        <v>45</v>
      </c>
      <c r="K38" s="26" t="n">
        <f aca="false">ROUND($D38/100*G38,1)</f>
        <v>2.4</v>
      </c>
      <c r="L38" s="26" t="n">
        <f aca="false">ROUND($D38/100*H38,1)</f>
        <v>9</v>
      </c>
      <c r="M38" s="26" t="n">
        <f aca="false">ROUND($D38/100*I38,1)</f>
        <v>0.8</v>
      </c>
    </row>
    <row r="39" customFormat="false" ht="15" hidden="false" customHeight="true" outlineLevel="0" collapsed="false">
      <c r="A39" s="23" t="s">
        <v>279</v>
      </c>
      <c r="B39" s="23" t="s">
        <v>280</v>
      </c>
      <c r="C39" s="23" t="s">
        <v>76</v>
      </c>
      <c r="D39" s="25" t="n">
        <v>200</v>
      </c>
      <c r="E39" s="25"/>
      <c r="F39" s="26" t="n">
        <f aca="false">IFERROR(VLOOKUP($C39,①食材库!$B:$F,2,FALSE()),0)</f>
        <v>80</v>
      </c>
      <c r="G39" s="26" t="n">
        <f aca="false">IFERROR(VLOOKUP($C39,①食材库!$B:$F,3,FALSE()),0)</f>
        <v>9</v>
      </c>
      <c r="H39" s="26" t="n">
        <f aca="false">IFERROR(VLOOKUP($C39,①食材库!$B:$F,4,FALSE()),0)</f>
        <v>2</v>
      </c>
      <c r="I39" s="26" t="n">
        <f aca="false">IFERROR(VLOOKUP($C39,①食材库!$B:$F,5,FALSE()),0)</f>
        <v>4.5</v>
      </c>
      <c r="J39" s="26" t="n">
        <f aca="false">ROUND($D39/100*F39,0)</f>
        <v>160</v>
      </c>
      <c r="K39" s="26" t="n">
        <f aca="false">ROUND($D39/100*G39,1)</f>
        <v>18</v>
      </c>
      <c r="L39" s="26" t="n">
        <f aca="false">ROUND($D39/100*H39,1)</f>
        <v>4</v>
      </c>
      <c r="M39" s="26" t="n">
        <f aca="false">ROUND($D39/100*I39,1)</f>
        <v>9</v>
      </c>
    </row>
    <row r="40" customFormat="false" ht="15" hidden="false" customHeight="true" outlineLevel="0" collapsed="false">
      <c r="A40" s="23" t="s">
        <v>279</v>
      </c>
      <c r="B40" s="23" t="s">
        <v>280</v>
      </c>
      <c r="C40" s="23" t="s">
        <v>55</v>
      </c>
      <c r="D40" s="25" t="n">
        <v>100</v>
      </c>
      <c r="E40" s="25"/>
      <c r="F40" s="26" t="n">
        <f aca="false">IFERROR(VLOOKUP($C40,①食材库!$B:$F,2,FALSE()),0)</f>
        <v>152</v>
      </c>
      <c r="G40" s="26" t="n">
        <f aca="false">IFERROR(VLOOKUP($C40,①食材库!$B:$F,3,FALSE()),0)</f>
        <v>21</v>
      </c>
      <c r="H40" s="26" t="n">
        <f aca="false">IFERROR(VLOOKUP($C40,①食材库!$B:$F,4,FALSE()),0)</f>
        <v>0</v>
      </c>
      <c r="I40" s="26" t="n">
        <f aca="false">IFERROR(VLOOKUP($C40,①食材库!$B:$F,5,FALSE()),0)</f>
        <v>7</v>
      </c>
      <c r="J40" s="26" t="n">
        <f aca="false">ROUND($D40/100*F40,0)</f>
        <v>152</v>
      </c>
      <c r="K40" s="26" t="n">
        <f aca="false">ROUND($D40/100*G40,1)</f>
        <v>21</v>
      </c>
      <c r="L40" s="26" t="n">
        <f aca="false">ROUND($D40/100*H40,1)</f>
        <v>0</v>
      </c>
      <c r="M40" s="26" t="n">
        <f aca="false">ROUND($D40/100*I40,1)</f>
        <v>7</v>
      </c>
    </row>
    <row r="41" customFormat="false" ht="15" hidden="false" customHeight="true" outlineLevel="0" collapsed="false">
      <c r="A41" s="27" t="s">
        <v>281</v>
      </c>
      <c r="B41" s="27" t="s">
        <v>280</v>
      </c>
      <c r="C41" s="27" t="s">
        <v>175</v>
      </c>
      <c r="D41" s="29" t="n">
        <v>100</v>
      </c>
      <c r="E41" s="29"/>
      <c r="F41" s="26" t="n">
        <f aca="false">IFERROR(VLOOKUP($C41,①食材库!$B:$F,2,FALSE()),0)</f>
        <v>45</v>
      </c>
      <c r="G41" s="26" t="n">
        <f aca="false">IFERROR(VLOOKUP($C41,①食材库!$B:$F,3,FALSE()),0)</f>
        <v>1.7</v>
      </c>
      <c r="H41" s="26" t="n">
        <f aca="false">IFERROR(VLOOKUP($C41,①食材库!$B:$F,4,FALSE()),0)</f>
        <v>9</v>
      </c>
      <c r="I41" s="26" t="n">
        <f aca="false">IFERROR(VLOOKUP($C41,①食材库!$B:$F,5,FALSE()),0)</f>
        <v>0.6</v>
      </c>
      <c r="J41" s="26" t="n">
        <f aca="false">ROUND($D41/100*F41,0)</f>
        <v>45</v>
      </c>
      <c r="K41" s="26" t="n">
        <f aca="false">ROUND($D41/100*G41,1)</f>
        <v>1.7</v>
      </c>
      <c r="L41" s="26" t="n">
        <f aca="false">ROUND($D41/100*H41,1)</f>
        <v>9</v>
      </c>
      <c r="M41" s="26" t="n">
        <f aca="false">ROUND($D41/100*I41,1)</f>
        <v>0.6</v>
      </c>
    </row>
    <row r="42" customFormat="false" ht="15" hidden="false" customHeight="true" outlineLevel="0" collapsed="false">
      <c r="A42" s="27" t="s">
        <v>281</v>
      </c>
      <c r="B42" s="27" t="s">
        <v>280</v>
      </c>
      <c r="C42" s="27" t="s">
        <v>76</v>
      </c>
      <c r="D42" s="29" t="n">
        <v>200</v>
      </c>
      <c r="E42" s="29"/>
      <c r="F42" s="26" t="n">
        <f aca="false">IFERROR(VLOOKUP($C42,①食材库!$B:$F,2,FALSE()),0)</f>
        <v>80</v>
      </c>
      <c r="G42" s="26" t="n">
        <f aca="false">IFERROR(VLOOKUP($C42,①食材库!$B:$F,3,FALSE()),0)</f>
        <v>9</v>
      </c>
      <c r="H42" s="26" t="n">
        <f aca="false">IFERROR(VLOOKUP($C42,①食材库!$B:$F,4,FALSE()),0)</f>
        <v>2</v>
      </c>
      <c r="I42" s="26" t="n">
        <f aca="false">IFERROR(VLOOKUP($C42,①食材库!$B:$F,5,FALSE()),0)</f>
        <v>4.5</v>
      </c>
      <c r="J42" s="26" t="n">
        <f aca="false">ROUND($D42/100*F42,0)</f>
        <v>160</v>
      </c>
      <c r="K42" s="26" t="n">
        <f aca="false">ROUND($D42/100*G42,1)</f>
        <v>18</v>
      </c>
      <c r="L42" s="26" t="n">
        <f aca="false">ROUND($D42/100*H42,1)</f>
        <v>4</v>
      </c>
      <c r="M42" s="26" t="n">
        <f aca="false">ROUND($D42/100*I42,1)</f>
        <v>9</v>
      </c>
    </row>
    <row r="43" customFormat="false" ht="15" hidden="false" customHeight="true" outlineLevel="0" collapsed="false">
      <c r="A43" s="23" t="s">
        <v>282</v>
      </c>
      <c r="B43" s="23" t="s">
        <v>280</v>
      </c>
      <c r="C43" s="23" t="s">
        <v>157</v>
      </c>
      <c r="D43" s="25" t="n">
        <v>200</v>
      </c>
      <c r="E43" s="25"/>
      <c r="F43" s="26" t="n">
        <f aca="false">IFERROR(VLOOKUP($C43,①食材库!$B:$F,2,FALSE()),0)</f>
        <v>18</v>
      </c>
      <c r="G43" s="26" t="n">
        <f aca="false">IFERROR(VLOOKUP($C43,①食材库!$B:$F,3,FALSE()),0)</f>
        <v>0.9</v>
      </c>
      <c r="H43" s="26" t="n">
        <f aca="false">IFERROR(VLOOKUP($C43,①食材库!$B:$F,4,FALSE()),0)</f>
        <v>3.9</v>
      </c>
      <c r="I43" s="26" t="n">
        <f aca="false">IFERROR(VLOOKUP($C43,①食材库!$B:$F,5,FALSE()),0)</f>
        <v>0.2</v>
      </c>
      <c r="J43" s="26" t="n">
        <f aca="false">ROUND($D43/100*F43,0)</f>
        <v>36</v>
      </c>
      <c r="K43" s="26" t="n">
        <f aca="false">ROUND($D43/100*G43,1)</f>
        <v>1.8</v>
      </c>
      <c r="L43" s="26" t="n">
        <f aca="false">ROUND($D43/100*H43,1)</f>
        <v>7.8</v>
      </c>
      <c r="M43" s="26" t="n">
        <f aca="false">ROUND($D43/100*I43,1)</f>
        <v>0.4</v>
      </c>
    </row>
    <row r="44" customFormat="false" ht="15" hidden="false" customHeight="true" outlineLevel="0" collapsed="false">
      <c r="A44" s="23" t="s">
        <v>282</v>
      </c>
      <c r="B44" s="23" t="s">
        <v>280</v>
      </c>
      <c r="C44" s="23" t="s">
        <v>172</v>
      </c>
      <c r="D44" s="25" t="n">
        <v>100</v>
      </c>
      <c r="E44" s="25"/>
      <c r="F44" s="26" t="n">
        <f aca="false">IFERROR(VLOOKUP($C44,①食材库!$B:$F,2,FALSE()),0)</f>
        <v>30</v>
      </c>
      <c r="G44" s="26" t="n">
        <f aca="false">IFERROR(VLOOKUP($C44,①食材库!$B:$F,3,FALSE()),0)</f>
        <v>3</v>
      </c>
      <c r="H44" s="26" t="n">
        <f aca="false">IFERROR(VLOOKUP($C44,①食材库!$B:$F,4,FALSE()),0)</f>
        <v>6</v>
      </c>
      <c r="I44" s="26" t="n">
        <f aca="false">IFERROR(VLOOKUP($C44,①食材库!$B:$F,5,FALSE()),0)</f>
        <v>0.2</v>
      </c>
      <c r="J44" s="26" t="n">
        <f aca="false">ROUND($D44/100*F44,0)</f>
        <v>30</v>
      </c>
      <c r="K44" s="26" t="n">
        <f aca="false">ROUND($D44/100*G44,1)</f>
        <v>3</v>
      </c>
      <c r="L44" s="26" t="n">
        <f aca="false">ROUND($D44/100*H44,1)</f>
        <v>6</v>
      </c>
      <c r="M44" s="26" t="n">
        <f aca="false">ROUND($D44/100*I44,1)</f>
        <v>0.2</v>
      </c>
    </row>
    <row r="45" customFormat="false" ht="15" hidden="false" customHeight="true" outlineLevel="0" collapsed="false">
      <c r="A45" s="23" t="s">
        <v>282</v>
      </c>
      <c r="B45" s="23" t="s">
        <v>280</v>
      </c>
      <c r="C45" s="23" t="s">
        <v>72</v>
      </c>
      <c r="D45" s="25" t="n">
        <v>50</v>
      </c>
      <c r="E45" s="24" t="s">
        <v>283</v>
      </c>
      <c r="F45" s="26" t="n">
        <f aca="false">IFERROR(VLOOKUP($C45,①食材库!$B:$F,2,FALSE()),0)</f>
        <v>144</v>
      </c>
      <c r="G45" s="26" t="n">
        <f aca="false">IFERROR(VLOOKUP($C45,①食材库!$B:$F,3,FALSE()),0)</f>
        <v>12.6</v>
      </c>
      <c r="H45" s="26" t="n">
        <f aca="false">IFERROR(VLOOKUP($C45,①食材库!$B:$F,4,FALSE()),0)</f>
        <v>0.8</v>
      </c>
      <c r="I45" s="26" t="n">
        <f aca="false">IFERROR(VLOOKUP($C45,①食材库!$B:$F,5,FALSE()),0)</f>
        <v>9.6</v>
      </c>
      <c r="J45" s="26" t="n">
        <f aca="false">ROUND($D45/100*F45,0)</f>
        <v>72</v>
      </c>
      <c r="K45" s="26" t="n">
        <f aca="false">ROUND($D45/100*G45,1)</f>
        <v>6.3</v>
      </c>
      <c r="L45" s="26" t="n">
        <f aca="false">ROUND($D45/100*H45,1)</f>
        <v>0.4</v>
      </c>
      <c r="M45" s="26" t="n">
        <f aca="false">ROUND($D45/100*I45,1)</f>
        <v>4.8</v>
      </c>
    </row>
    <row r="46" customFormat="false" ht="15" hidden="false" customHeight="true" outlineLevel="0" collapsed="false">
      <c r="A46" s="27" t="s">
        <v>284</v>
      </c>
      <c r="B46" s="27" t="s">
        <v>280</v>
      </c>
      <c r="C46" s="27" t="s">
        <v>55</v>
      </c>
      <c r="D46" s="29" t="n">
        <v>300</v>
      </c>
      <c r="E46" s="29"/>
      <c r="F46" s="26" t="n">
        <f aca="false">IFERROR(VLOOKUP($C46,①食材库!$B:$F,2,FALSE()),0)</f>
        <v>152</v>
      </c>
      <c r="G46" s="26" t="n">
        <f aca="false">IFERROR(VLOOKUP($C46,①食材库!$B:$F,3,FALSE()),0)</f>
        <v>21</v>
      </c>
      <c r="H46" s="26" t="n">
        <f aca="false">IFERROR(VLOOKUP($C46,①食材库!$B:$F,4,FALSE()),0)</f>
        <v>0</v>
      </c>
      <c r="I46" s="26" t="n">
        <f aca="false">IFERROR(VLOOKUP($C46,①食材库!$B:$F,5,FALSE()),0)</f>
        <v>7</v>
      </c>
      <c r="J46" s="26" t="n">
        <f aca="false">ROUND($D46/100*F46,0)</f>
        <v>456</v>
      </c>
      <c r="K46" s="26" t="n">
        <f aca="false">ROUND($D46/100*G46,1)</f>
        <v>63</v>
      </c>
      <c r="L46" s="26" t="n">
        <f aca="false">ROUND($D46/100*H46,1)</f>
        <v>0</v>
      </c>
      <c r="M46" s="26" t="n">
        <f aca="false">ROUND($D46/100*I46,1)</f>
        <v>21</v>
      </c>
    </row>
    <row r="47" customFormat="false" ht="15" hidden="false" customHeight="true" outlineLevel="0" collapsed="false">
      <c r="A47" s="27" t="s">
        <v>284</v>
      </c>
      <c r="B47" s="27" t="s">
        <v>280</v>
      </c>
      <c r="C47" s="27" t="s">
        <v>165</v>
      </c>
      <c r="D47" s="29" t="n">
        <v>300</v>
      </c>
      <c r="E47" s="29"/>
      <c r="F47" s="26" t="n">
        <f aca="false">IFERROR(VLOOKUP($C47,①食材库!$B:$F,2,FALSE()),0)</f>
        <v>18</v>
      </c>
      <c r="G47" s="26" t="n">
        <f aca="false">IFERROR(VLOOKUP($C47,①食材库!$B:$F,3,FALSE()),0)</f>
        <v>0.6</v>
      </c>
      <c r="H47" s="26" t="n">
        <f aca="false">IFERROR(VLOOKUP($C47,①食材库!$B:$F,4,FALSE()),0)</f>
        <v>4</v>
      </c>
      <c r="I47" s="26" t="n">
        <f aca="false">IFERROR(VLOOKUP($C47,①食材库!$B:$F,5,FALSE()),0)</f>
        <v>0.1</v>
      </c>
      <c r="J47" s="26" t="n">
        <f aca="false">ROUND($D47/100*F47,0)</f>
        <v>54</v>
      </c>
      <c r="K47" s="26" t="n">
        <f aca="false">ROUND($D47/100*G47,1)</f>
        <v>1.8</v>
      </c>
      <c r="L47" s="26" t="n">
        <f aca="false">ROUND($D47/100*H47,1)</f>
        <v>12</v>
      </c>
      <c r="M47" s="26" t="n">
        <f aca="false">ROUND($D47/100*I47,1)</f>
        <v>0.3</v>
      </c>
    </row>
    <row r="48" customFormat="false" ht="15" hidden="false" customHeight="true" outlineLevel="0" collapsed="false">
      <c r="A48" s="23" t="s">
        <v>285</v>
      </c>
      <c r="B48" s="23" t="s">
        <v>280</v>
      </c>
      <c r="C48" s="23" t="s">
        <v>55</v>
      </c>
      <c r="D48" s="25" t="n">
        <v>200</v>
      </c>
      <c r="E48" s="25"/>
      <c r="F48" s="26" t="n">
        <f aca="false">IFERROR(VLOOKUP($C48,①食材库!$B:$F,2,FALSE()),0)</f>
        <v>152</v>
      </c>
      <c r="G48" s="26" t="n">
        <f aca="false">IFERROR(VLOOKUP($C48,①食材库!$B:$F,3,FALSE()),0)</f>
        <v>21</v>
      </c>
      <c r="H48" s="26" t="n">
        <f aca="false">IFERROR(VLOOKUP($C48,①食材库!$B:$F,4,FALSE()),0)</f>
        <v>0</v>
      </c>
      <c r="I48" s="26" t="n">
        <f aca="false">IFERROR(VLOOKUP($C48,①食材库!$B:$F,5,FALSE()),0)</f>
        <v>7</v>
      </c>
      <c r="J48" s="26" t="n">
        <f aca="false">ROUND($D48/100*F48,0)</f>
        <v>304</v>
      </c>
      <c r="K48" s="26" t="n">
        <f aca="false">ROUND($D48/100*G48,1)</f>
        <v>42</v>
      </c>
      <c r="L48" s="26" t="n">
        <f aca="false">ROUND($D48/100*H48,1)</f>
        <v>0</v>
      </c>
      <c r="M48" s="26" t="n">
        <f aca="false">ROUND($D48/100*I48,1)</f>
        <v>14</v>
      </c>
    </row>
    <row r="49" customFormat="false" ht="15" hidden="false" customHeight="true" outlineLevel="0" collapsed="false">
      <c r="A49" s="23" t="s">
        <v>285</v>
      </c>
      <c r="B49" s="23" t="s">
        <v>280</v>
      </c>
      <c r="C49" s="23" t="s">
        <v>76</v>
      </c>
      <c r="D49" s="25" t="n">
        <v>200</v>
      </c>
      <c r="E49" s="25"/>
      <c r="F49" s="26" t="n">
        <f aca="false">IFERROR(VLOOKUP($C49,①食材库!$B:$F,2,FALSE()),0)</f>
        <v>80</v>
      </c>
      <c r="G49" s="26" t="n">
        <f aca="false">IFERROR(VLOOKUP($C49,①食材库!$B:$F,3,FALSE()),0)</f>
        <v>9</v>
      </c>
      <c r="H49" s="26" t="n">
        <f aca="false">IFERROR(VLOOKUP($C49,①食材库!$B:$F,4,FALSE()),0)</f>
        <v>2</v>
      </c>
      <c r="I49" s="26" t="n">
        <f aca="false">IFERROR(VLOOKUP($C49,①食材库!$B:$F,5,FALSE()),0)</f>
        <v>4.5</v>
      </c>
      <c r="J49" s="26" t="n">
        <f aca="false">ROUND($D49/100*F49,0)</f>
        <v>160</v>
      </c>
      <c r="K49" s="26" t="n">
        <f aca="false">ROUND($D49/100*G49,1)</f>
        <v>18</v>
      </c>
      <c r="L49" s="26" t="n">
        <f aca="false">ROUND($D49/100*H49,1)</f>
        <v>4</v>
      </c>
      <c r="M49" s="26" t="n">
        <f aca="false">ROUND($D49/100*I49,1)</f>
        <v>9</v>
      </c>
    </row>
    <row r="50" customFormat="false" ht="15" hidden="false" customHeight="true" outlineLevel="0" collapsed="false">
      <c r="A50" s="23" t="s">
        <v>285</v>
      </c>
      <c r="B50" s="23" t="s">
        <v>280</v>
      </c>
      <c r="C50" s="23" t="s">
        <v>162</v>
      </c>
      <c r="D50" s="25" t="n">
        <v>100</v>
      </c>
      <c r="E50" s="25"/>
      <c r="F50" s="26" t="n">
        <f aca="false">IFERROR(VLOOKUP($C50,①食材库!$B:$F,2,FALSE()),0)</f>
        <v>30</v>
      </c>
      <c r="G50" s="26" t="n">
        <f aca="false">IFERROR(VLOOKUP($C50,①食材库!$B:$F,3,FALSE()),0)</f>
        <v>1.6</v>
      </c>
      <c r="H50" s="26" t="n">
        <f aca="false">IFERROR(VLOOKUP($C50,①食材库!$B:$F,4,FALSE()),0)</f>
        <v>6</v>
      </c>
      <c r="I50" s="26" t="n">
        <f aca="false">IFERROR(VLOOKUP($C50,①食材库!$B:$F,5,FALSE()),0)</f>
        <v>0.5</v>
      </c>
      <c r="J50" s="26" t="n">
        <f aca="false">ROUND($D50/100*F50,0)</f>
        <v>30</v>
      </c>
      <c r="K50" s="26" t="n">
        <f aca="false">ROUND($D50/100*G50,1)</f>
        <v>1.6</v>
      </c>
      <c r="L50" s="26" t="n">
        <f aca="false">ROUND($D50/100*H50,1)</f>
        <v>6</v>
      </c>
      <c r="M50" s="26" t="n">
        <f aca="false">ROUND($D50/100*I50,1)</f>
        <v>0.5</v>
      </c>
    </row>
    <row r="51" customFormat="false" ht="15" hidden="false" customHeight="true" outlineLevel="0" collapsed="false">
      <c r="A51" s="27" t="s">
        <v>286</v>
      </c>
      <c r="B51" s="27" t="s">
        <v>287</v>
      </c>
      <c r="C51" s="27" t="s">
        <v>94</v>
      </c>
      <c r="D51" s="29" t="n">
        <v>300</v>
      </c>
      <c r="E51" s="29" t="s">
        <v>288</v>
      </c>
      <c r="F51" s="26" t="n">
        <f aca="false">IFERROR(VLOOKUP($C51,①食材库!$B:$F,2,FALSE()),0)</f>
        <v>130</v>
      </c>
      <c r="G51" s="26" t="n">
        <f aca="false">IFERROR(VLOOKUP($C51,①食材库!$B:$F,3,FALSE()),0)</f>
        <v>2.7</v>
      </c>
      <c r="H51" s="26" t="n">
        <f aca="false">IFERROR(VLOOKUP($C51,①食材库!$B:$F,4,FALSE()),0)</f>
        <v>28</v>
      </c>
      <c r="I51" s="26" t="n">
        <f aca="false">IFERROR(VLOOKUP($C51,①食材库!$B:$F,5,FALSE()),0)</f>
        <v>0.3</v>
      </c>
      <c r="J51" s="26" t="n">
        <f aca="false">ROUND($D51/100*F51,0)</f>
        <v>390</v>
      </c>
      <c r="K51" s="26" t="n">
        <f aca="false">ROUND($D51/100*G51,1)</f>
        <v>8.1</v>
      </c>
      <c r="L51" s="26" t="n">
        <f aca="false">ROUND($D51/100*H51,1)</f>
        <v>84</v>
      </c>
      <c r="M51" s="26" t="n">
        <f aca="false">ROUND($D51/100*I51,1)</f>
        <v>0.9</v>
      </c>
    </row>
    <row r="52" customFormat="false" ht="15" hidden="false" customHeight="true" outlineLevel="0" collapsed="false">
      <c r="A52" s="23" t="s">
        <v>289</v>
      </c>
      <c r="B52" s="23" t="s">
        <v>287</v>
      </c>
      <c r="C52" s="23" t="s">
        <v>102</v>
      </c>
      <c r="D52" s="25" t="n">
        <v>250</v>
      </c>
      <c r="E52" s="25"/>
      <c r="F52" s="26" t="n">
        <f aca="false">IFERROR(VLOOKUP($C52,①食材库!$B:$F,2,FALSE()),0)</f>
        <v>90</v>
      </c>
      <c r="G52" s="26" t="n">
        <f aca="false">IFERROR(VLOOKUP($C52,①食材库!$B:$F,3,FALSE()),0)</f>
        <v>2</v>
      </c>
      <c r="H52" s="26" t="n">
        <f aca="false">IFERROR(VLOOKUP($C52,①食材库!$B:$F,4,FALSE()),0)</f>
        <v>21</v>
      </c>
      <c r="I52" s="26" t="n">
        <f aca="false">IFERROR(VLOOKUP($C52,①食材库!$B:$F,5,FALSE()),0)</f>
        <v>0.1</v>
      </c>
      <c r="J52" s="26" t="n">
        <f aca="false">ROUND($D52/100*F52,0)</f>
        <v>225</v>
      </c>
      <c r="K52" s="26" t="n">
        <f aca="false">ROUND($D52/100*G52,1)</f>
        <v>5</v>
      </c>
      <c r="L52" s="26" t="n">
        <f aca="false">ROUND($D52/100*H52,1)</f>
        <v>52.5</v>
      </c>
      <c r="M52" s="26" t="n">
        <f aca="false">ROUND($D52/100*I52,1)</f>
        <v>0.3</v>
      </c>
    </row>
    <row r="53" customFormat="false" ht="15" hidden="false" customHeight="true" outlineLevel="0" collapsed="false">
      <c r="A53" s="27" t="s">
        <v>290</v>
      </c>
      <c r="B53" s="27" t="s">
        <v>287</v>
      </c>
      <c r="C53" s="27" t="s">
        <v>111</v>
      </c>
      <c r="D53" s="29" t="n">
        <v>40</v>
      </c>
      <c r="E53" s="29" t="s">
        <v>291</v>
      </c>
      <c r="F53" s="26" t="n">
        <f aca="false">IFERROR(VLOOKUP($C53,①食材库!$B:$F,2,FALSE()),0)</f>
        <v>380</v>
      </c>
      <c r="G53" s="26" t="n">
        <f aca="false">IFERROR(VLOOKUP($C53,①食材库!$B:$F,3,FALSE()),0)</f>
        <v>13</v>
      </c>
      <c r="H53" s="26" t="n">
        <f aca="false">IFERROR(VLOOKUP($C53,①食材库!$B:$F,4,FALSE()),0)</f>
        <v>67</v>
      </c>
      <c r="I53" s="26" t="n">
        <f aca="false">IFERROR(VLOOKUP($C53,①食材库!$B:$F,5,FALSE()),0)</f>
        <v>7</v>
      </c>
      <c r="J53" s="26" t="n">
        <f aca="false">ROUND($D53/100*F53,0)</f>
        <v>152</v>
      </c>
      <c r="K53" s="26" t="n">
        <f aca="false">ROUND($D53/100*G53,1)</f>
        <v>5.2</v>
      </c>
      <c r="L53" s="26" t="n">
        <f aca="false">ROUND($D53/100*H53,1)</f>
        <v>26.8</v>
      </c>
      <c r="M53" s="26" t="n">
        <f aca="false">ROUND($D53/100*I53,1)</f>
        <v>2.8</v>
      </c>
    </row>
    <row r="54" customFormat="false" ht="15" hidden="false" customHeight="true" outlineLevel="0" collapsed="false">
      <c r="A54" s="27" t="s">
        <v>290</v>
      </c>
      <c r="B54" s="27" t="s">
        <v>287</v>
      </c>
      <c r="C54" s="27" t="s">
        <v>89</v>
      </c>
      <c r="D54" s="29" t="n">
        <v>200</v>
      </c>
      <c r="E54" s="29"/>
      <c r="F54" s="26" t="n">
        <f aca="false">IFERROR(VLOOKUP($C54,①食材库!$B:$F,2,FALSE()),0)</f>
        <v>50</v>
      </c>
      <c r="G54" s="26" t="n">
        <f aca="false">IFERROR(VLOOKUP($C54,①食材库!$B:$F,3,FALSE()),0)</f>
        <v>3.4</v>
      </c>
      <c r="H54" s="26" t="n">
        <f aca="false">IFERROR(VLOOKUP($C54,①食材库!$B:$F,4,FALSE()),0)</f>
        <v>4.8</v>
      </c>
      <c r="I54" s="26" t="n">
        <f aca="false">IFERROR(VLOOKUP($C54,①食材库!$B:$F,5,FALSE()),0)</f>
        <v>2</v>
      </c>
      <c r="J54" s="26" t="n">
        <f aca="false">ROUND($D54/100*F54,0)</f>
        <v>100</v>
      </c>
      <c r="K54" s="26" t="n">
        <f aca="false">ROUND($D54/100*G54,1)</f>
        <v>6.8</v>
      </c>
      <c r="L54" s="26" t="n">
        <f aca="false">ROUND($D54/100*H54,1)</f>
        <v>9.6</v>
      </c>
      <c r="M54" s="26" t="n">
        <f aca="false">ROUND($D54/100*I54,1)</f>
        <v>4</v>
      </c>
    </row>
    <row r="55" customFormat="false" ht="15" hidden="false" customHeight="true" outlineLevel="0" collapsed="false">
      <c r="A55" s="23" t="s">
        <v>292</v>
      </c>
      <c r="B55" s="23" t="s">
        <v>287</v>
      </c>
      <c r="C55" s="23" t="s">
        <v>94</v>
      </c>
      <c r="D55" s="25" t="n">
        <v>200</v>
      </c>
      <c r="E55" s="25"/>
      <c r="F55" s="26" t="n">
        <f aca="false">IFERROR(VLOOKUP($C55,①食材库!$B:$F,2,FALSE()),0)</f>
        <v>130</v>
      </c>
      <c r="G55" s="26" t="n">
        <f aca="false">IFERROR(VLOOKUP($C55,①食材库!$B:$F,3,FALSE()),0)</f>
        <v>2.7</v>
      </c>
      <c r="H55" s="26" t="n">
        <f aca="false">IFERROR(VLOOKUP($C55,①食材库!$B:$F,4,FALSE()),0)</f>
        <v>28</v>
      </c>
      <c r="I55" s="26" t="n">
        <f aca="false">IFERROR(VLOOKUP($C55,①食材库!$B:$F,5,FALSE()),0)</f>
        <v>0.3</v>
      </c>
      <c r="J55" s="26" t="n">
        <f aca="false">ROUND($D55/100*F55,0)</f>
        <v>260</v>
      </c>
      <c r="K55" s="26" t="n">
        <f aca="false">ROUND($D55/100*G55,1)</f>
        <v>5.4</v>
      </c>
      <c r="L55" s="26" t="n">
        <f aca="false">ROUND($D55/100*H55,1)</f>
        <v>56</v>
      </c>
      <c r="M55" s="26" t="n">
        <f aca="false">ROUND($D55/100*I55,1)</f>
        <v>0.6</v>
      </c>
    </row>
    <row r="56" customFormat="false" ht="15" hidden="false" customHeight="true" outlineLevel="0" collapsed="false">
      <c r="A56" s="23" t="s">
        <v>292</v>
      </c>
      <c r="B56" s="23" t="s">
        <v>287</v>
      </c>
      <c r="C56" s="23" t="s">
        <v>55</v>
      </c>
      <c r="D56" s="25" t="n">
        <v>150</v>
      </c>
      <c r="E56" s="25"/>
      <c r="F56" s="26" t="n">
        <f aca="false">IFERROR(VLOOKUP($C56,①食材库!$B:$F,2,FALSE()),0)</f>
        <v>152</v>
      </c>
      <c r="G56" s="26" t="n">
        <f aca="false">IFERROR(VLOOKUP($C56,①食材库!$B:$F,3,FALSE()),0)</f>
        <v>21</v>
      </c>
      <c r="H56" s="26" t="n">
        <f aca="false">IFERROR(VLOOKUP($C56,①食材库!$B:$F,4,FALSE()),0)</f>
        <v>0</v>
      </c>
      <c r="I56" s="26" t="n">
        <f aca="false">IFERROR(VLOOKUP($C56,①食材库!$B:$F,5,FALSE()),0)</f>
        <v>7</v>
      </c>
      <c r="J56" s="26" t="n">
        <f aca="false">ROUND($D56/100*F56,0)</f>
        <v>228</v>
      </c>
      <c r="K56" s="26" t="n">
        <f aca="false">ROUND($D56/100*G56,1)</f>
        <v>31.5</v>
      </c>
      <c r="L56" s="26" t="n">
        <f aca="false">ROUND($D56/100*H56,1)</f>
        <v>0</v>
      </c>
      <c r="M56" s="26" t="n">
        <f aca="false">ROUND($D56/100*I56,1)</f>
        <v>10.5</v>
      </c>
    </row>
    <row r="57" customFormat="false" ht="15" hidden="false" customHeight="true" outlineLevel="0" collapsed="false">
      <c r="A57" s="23" t="s">
        <v>292</v>
      </c>
      <c r="B57" s="23" t="s">
        <v>287</v>
      </c>
      <c r="C57" s="23" t="s">
        <v>167</v>
      </c>
      <c r="D57" s="25" t="n">
        <v>100</v>
      </c>
      <c r="E57" s="25"/>
      <c r="F57" s="26" t="n">
        <f aca="false">IFERROR(VLOOKUP($C57,①食材库!$B:$F,2,FALSE()),0)</f>
        <v>40</v>
      </c>
      <c r="G57" s="26" t="n">
        <f aca="false">IFERROR(VLOOKUP($C57,①食材库!$B:$F,3,FALSE()),0)</f>
        <v>1.1</v>
      </c>
      <c r="H57" s="26" t="n">
        <f aca="false">IFERROR(VLOOKUP($C57,①食材库!$B:$F,4,FALSE()),0)</f>
        <v>9</v>
      </c>
      <c r="I57" s="26" t="n">
        <f aca="false">IFERROR(VLOOKUP($C57,①食材库!$B:$F,5,FALSE()),0)</f>
        <v>0.1</v>
      </c>
      <c r="J57" s="26" t="n">
        <f aca="false">ROUND($D57/100*F57,0)</f>
        <v>40</v>
      </c>
      <c r="K57" s="26" t="n">
        <f aca="false">ROUND($D57/100*G57,1)</f>
        <v>1.1</v>
      </c>
      <c r="L57" s="26" t="n">
        <f aca="false">ROUND($D57/100*H57,1)</f>
        <v>9</v>
      </c>
      <c r="M57" s="26" t="n">
        <f aca="false">ROUND($D57/100*I57,1)</f>
        <v>0.1</v>
      </c>
    </row>
    <row r="58" customFormat="false" ht="15" hidden="false" customHeight="true" outlineLevel="0" collapsed="false">
      <c r="A58" s="27" t="s">
        <v>293</v>
      </c>
      <c r="B58" s="27" t="s">
        <v>287</v>
      </c>
      <c r="C58" s="27" t="s">
        <v>94</v>
      </c>
      <c r="D58" s="29" t="n">
        <v>200</v>
      </c>
      <c r="E58" s="29"/>
      <c r="F58" s="26" t="n">
        <f aca="false">IFERROR(VLOOKUP($C58,①食材库!$B:$F,2,FALSE()),0)</f>
        <v>130</v>
      </c>
      <c r="G58" s="26" t="n">
        <f aca="false">IFERROR(VLOOKUP($C58,①食材库!$B:$F,3,FALSE()),0)</f>
        <v>2.7</v>
      </c>
      <c r="H58" s="26" t="n">
        <f aca="false">IFERROR(VLOOKUP($C58,①食材库!$B:$F,4,FALSE()),0)</f>
        <v>28</v>
      </c>
      <c r="I58" s="26" t="n">
        <f aca="false">IFERROR(VLOOKUP($C58,①食材库!$B:$F,5,FALSE()),0)</f>
        <v>0.3</v>
      </c>
      <c r="J58" s="26" t="n">
        <f aca="false">ROUND($D58/100*F58,0)</f>
        <v>260</v>
      </c>
      <c r="K58" s="26" t="n">
        <f aca="false">ROUND($D58/100*G58,1)</f>
        <v>5.4</v>
      </c>
      <c r="L58" s="26" t="n">
        <f aca="false">ROUND($D58/100*H58,1)</f>
        <v>56</v>
      </c>
      <c r="M58" s="26" t="n">
        <f aca="false">ROUND($D58/100*I58,1)</f>
        <v>0.6</v>
      </c>
    </row>
    <row r="59" customFormat="false" ht="15" hidden="false" customHeight="true" outlineLevel="0" collapsed="false">
      <c r="A59" s="27" t="s">
        <v>293</v>
      </c>
      <c r="B59" s="27" t="s">
        <v>287</v>
      </c>
      <c r="C59" s="27" t="s">
        <v>51</v>
      </c>
      <c r="D59" s="29" t="n">
        <v>150</v>
      </c>
      <c r="E59" s="29"/>
      <c r="F59" s="26" t="n">
        <f aca="false">IFERROR(VLOOKUP($C59,①食材库!$B:$F,2,FALSE()),0)</f>
        <v>120</v>
      </c>
      <c r="G59" s="26" t="n">
        <f aca="false">IFERROR(VLOOKUP($C59,①食材库!$B:$F,3,FALSE()),0)</f>
        <v>20</v>
      </c>
      <c r="H59" s="26" t="n">
        <f aca="false">IFERROR(VLOOKUP($C59,①食材库!$B:$F,4,FALSE()),0)</f>
        <v>0</v>
      </c>
      <c r="I59" s="26" t="n">
        <f aca="false">IFERROR(VLOOKUP($C59,①食材库!$B:$F,5,FALSE()),0)</f>
        <v>4</v>
      </c>
      <c r="J59" s="26" t="n">
        <f aca="false">ROUND($D59/100*F59,0)</f>
        <v>180</v>
      </c>
      <c r="K59" s="26" t="n">
        <f aca="false">ROUND($D59/100*G59,1)</f>
        <v>30</v>
      </c>
      <c r="L59" s="26" t="n">
        <f aca="false">ROUND($D59/100*H59,1)</f>
        <v>0</v>
      </c>
      <c r="M59" s="26" t="n">
        <f aca="false">ROUND($D59/100*I59,1)</f>
        <v>6</v>
      </c>
    </row>
    <row r="60" customFormat="false" ht="15" hidden="false" customHeight="true" outlineLevel="0" collapsed="false">
      <c r="A60" s="27" t="s">
        <v>293</v>
      </c>
      <c r="B60" s="27" t="s">
        <v>287</v>
      </c>
      <c r="C60" s="27" t="s">
        <v>159</v>
      </c>
      <c r="D60" s="29" t="n">
        <v>100</v>
      </c>
      <c r="E60" s="29"/>
      <c r="F60" s="26" t="n">
        <f aca="false">IFERROR(VLOOKUP($C60,①食材库!$B:$F,2,FALSE()),0)</f>
        <v>25</v>
      </c>
      <c r="G60" s="26" t="n">
        <f aca="false">IFERROR(VLOOKUP($C60,①食材库!$B:$F,3,FALSE()),0)</f>
        <v>1.3</v>
      </c>
      <c r="H60" s="26" t="n">
        <f aca="false">IFERROR(VLOOKUP($C60,①食材库!$B:$F,4,FALSE()),0)</f>
        <v>6</v>
      </c>
      <c r="I60" s="26" t="n">
        <f aca="false">IFERROR(VLOOKUP($C60,①食材库!$B:$F,5,FALSE()),0)</f>
        <v>0.1</v>
      </c>
      <c r="J60" s="26" t="n">
        <f aca="false">ROUND($D60/100*F60,0)</f>
        <v>25</v>
      </c>
      <c r="K60" s="26" t="n">
        <f aca="false">ROUND($D60/100*G60,1)</f>
        <v>1.3</v>
      </c>
      <c r="L60" s="26" t="n">
        <f aca="false">ROUND($D60/100*H60,1)</f>
        <v>6</v>
      </c>
      <c r="M60" s="26" t="n">
        <f aca="false">ROUND($D60/100*I60,1)</f>
        <v>0.1</v>
      </c>
    </row>
    <row r="61" customFormat="false" ht="15" hidden="false" customHeight="true" outlineLevel="0" collapsed="false">
      <c r="A61" s="23" t="s">
        <v>294</v>
      </c>
      <c r="B61" s="23" t="s">
        <v>287</v>
      </c>
      <c r="C61" s="23" t="s">
        <v>94</v>
      </c>
      <c r="D61" s="25" t="n">
        <v>150</v>
      </c>
      <c r="E61" s="25"/>
      <c r="F61" s="26" t="n">
        <f aca="false">IFERROR(VLOOKUP($C61,①食材库!$B:$F,2,FALSE()),0)</f>
        <v>130</v>
      </c>
      <c r="G61" s="26" t="n">
        <f aca="false">IFERROR(VLOOKUP($C61,①食材库!$B:$F,3,FALSE()),0)</f>
        <v>2.7</v>
      </c>
      <c r="H61" s="26" t="n">
        <f aca="false">IFERROR(VLOOKUP($C61,①食材库!$B:$F,4,FALSE()),0)</f>
        <v>28</v>
      </c>
      <c r="I61" s="26" t="n">
        <f aca="false">IFERROR(VLOOKUP($C61,①食材库!$B:$F,5,FALSE()),0)</f>
        <v>0.3</v>
      </c>
      <c r="J61" s="26" t="n">
        <f aca="false">ROUND($D61/100*F61,0)</f>
        <v>195</v>
      </c>
      <c r="K61" s="26" t="n">
        <f aca="false">ROUND($D61/100*G61,1)</f>
        <v>4.1</v>
      </c>
      <c r="L61" s="26" t="n">
        <f aca="false">ROUND($D61/100*H61,1)</f>
        <v>42</v>
      </c>
      <c r="M61" s="26" t="n">
        <f aca="false">ROUND($D61/100*I61,1)</f>
        <v>0.5</v>
      </c>
    </row>
    <row r="62" customFormat="false" ht="15" hidden="false" customHeight="true" outlineLevel="0" collapsed="false">
      <c r="A62" s="23" t="s">
        <v>294</v>
      </c>
      <c r="B62" s="23" t="s">
        <v>287</v>
      </c>
      <c r="C62" s="23" t="s">
        <v>107</v>
      </c>
      <c r="D62" s="25" t="n">
        <v>200</v>
      </c>
      <c r="E62" s="25"/>
      <c r="F62" s="26" t="n">
        <f aca="false">IFERROR(VLOOKUP($C62,①食材库!$B:$F,2,FALSE()),0)</f>
        <v>50</v>
      </c>
      <c r="G62" s="26" t="n">
        <f aca="false">IFERROR(VLOOKUP($C62,①食材库!$B:$F,3,FALSE()),0)</f>
        <v>1.8</v>
      </c>
      <c r="H62" s="26" t="n">
        <f aca="false">IFERROR(VLOOKUP($C62,①食材库!$B:$F,4,FALSE()),0)</f>
        <v>12</v>
      </c>
      <c r="I62" s="26" t="n">
        <f aca="false">IFERROR(VLOOKUP($C62,①食材库!$B:$F,5,FALSE()),0)</f>
        <v>0.1</v>
      </c>
      <c r="J62" s="26" t="n">
        <f aca="false">ROUND($D62/100*F62,0)</f>
        <v>100</v>
      </c>
      <c r="K62" s="26" t="n">
        <f aca="false">ROUND($D62/100*G62,1)</f>
        <v>3.6</v>
      </c>
      <c r="L62" s="26" t="n">
        <f aca="false">ROUND($D62/100*H62,1)</f>
        <v>24</v>
      </c>
      <c r="M62" s="26" t="n">
        <f aca="false">ROUND($D62/100*I62,1)</f>
        <v>0.2</v>
      </c>
    </row>
    <row r="63" customFormat="false" ht="15" hidden="false" customHeight="true" outlineLevel="0" collapsed="false">
      <c r="A63" s="27" t="s">
        <v>295</v>
      </c>
      <c r="B63" s="27" t="s">
        <v>296</v>
      </c>
      <c r="C63" s="27" t="s">
        <v>148</v>
      </c>
      <c r="D63" s="29" t="n">
        <v>100</v>
      </c>
      <c r="E63" s="29"/>
      <c r="F63" s="26" t="n">
        <f aca="false">IFERROR(VLOOKUP($C63,①食材库!$B:$F,2,FALSE()),0)</f>
        <v>15</v>
      </c>
      <c r="G63" s="26" t="n">
        <f aca="false">IFERROR(VLOOKUP($C63,①食材库!$B:$F,3,FALSE()),0)</f>
        <v>1.4</v>
      </c>
      <c r="H63" s="26" t="n">
        <f aca="false">IFERROR(VLOOKUP($C63,①食材库!$B:$F,4,FALSE()),0)</f>
        <v>2.9</v>
      </c>
      <c r="I63" s="26" t="n">
        <f aca="false">IFERROR(VLOOKUP($C63,①食材库!$B:$F,5,FALSE()),0)</f>
        <v>0.2</v>
      </c>
      <c r="J63" s="26" t="n">
        <f aca="false">ROUND($D63/100*F63,0)</f>
        <v>15</v>
      </c>
      <c r="K63" s="26" t="n">
        <f aca="false">ROUND($D63/100*G63,1)</f>
        <v>1.4</v>
      </c>
      <c r="L63" s="26" t="n">
        <f aca="false">ROUND($D63/100*H63,1)</f>
        <v>2.9</v>
      </c>
      <c r="M63" s="26" t="n">
        <f aca="false">ROUND($D63/100*I63,1)</f>
        <v>0.2</v>
      </c>
    </row>
    <row r="64" customFormat="false" ht="15" hidden="false" customHeight="true" outlineLevel="0" collapsed="false">
      <c r="A64" s="27" t="s">
        <v>295</v>
      </c>
      <c r="B64" s="27" t="s">
        <v>296</v>
      </c>
      <c r="C64" s="27" t="s">
        <v>149</v>
      </c>
      <c r="D64" s="29" t="n">
        <v>50</v>
      </c>
      <c r="E64" s="29"/>
      <c r="F64" s="26" t="n">
        <f aca="false">IFERROR(VLOOKUP($C64,①食材库!$B:$F,2,FALSE()),0)</f>
        <v>23</v>
      </c>
      <c r="G64" s="26" t="n">
        <f aca="false">IFERROR(VLOOKUP($C64,①食材库!$B:$F,3,FALSE()),0)</f>
        <v>2.9</v>
      </c>
      <c r="H64" s="26" t="n">
        <f aca="false">IFERROR(VLOOKUP($C64,①食材库!$B:$F,4,FALSE()),0)</f>
        <v>3.6</v>
      </c>
      <c r="I64" s="26" t="n">
        <f aca="false">IFERROR(VLOOKUP($C64,①食材库!$B:$F,5,FALSE()),0)</f>
        <v>0.4</v>
      </c>
      <c r="J64" s="26" t="n">
        <f aca="false">ROUND($D64/100*F64,0)</f>
        <v>12</v>
      </c>
      <c r="K64" s="26" t="n">
        <f aca="false">ROUND($D64/100*G64,1)</f>
        <v>1.5</v>
      </c>
      <c r="L64" s="26" t="n">
        <f aca="false">ROUND($D64/100*H64,1)</f>
        <v>1.8</v>
      </c>
      <c r="M64" s="26" t="n">
        <f aca="false">ROUND($D64/100*I64,1)</f>
        <v>0.2</v>
      </c>
    </row>
    <row r="65" customFormat="false" ht="15" hidden="false" customHeight="true" outlineLevel="0" collapsed="false">
      <c r="A65" s="27" t="s">
        <v>295</v>
      </c>
      <c r="B65" s="27" t="s">
        <v>296</v>
      </c>
      <c r="C65" s="27" t="s">
        <v>155</v>
      </c>
      <c r="D65" s="29" t="n">
        <v>80</v>
      </c>
      <c r="E65" s="29"/>
      <c r="F65" s="26" t="n">
        <f aca="false">IFERROR(VLOOKUP($C65,①食材库!$B:$F,2,FALSE()),0)</f>
        <v>31</v>
      </c>
      <c r="G65" s="26" t="n">
        <f aca="false">IFERROR(VLOOKUP($C65,①食材库!$B:$F,3,FALSE()),0)</f>
        <v>1</v>
      </c>
      <c r="H65" s="26" t="n">
        <f aca="false">IFERROR(VLOOKUP($C65,①食材库!$B:$F,4,FALSE()),0)</f>
        <v>6</v>
      </c>
      <c r="I65" s="26" t="n">
        <f aca="false">IFERROR(VLOOKUP($C65,①食材库!$B:$F,5,FALSE()),0)</f>
        <v>0.3</v>
      </c>
      <c r="J65" s="26" t="n">
        <f aca="false">ROUND($D65/100*F65,0)</f>
        <v>25</v>
      </c>
      <c r="K65" s="26" t="n">
        <f aca="false">ROUND($D65/100*G65,1)</f>
        <v>0.8</v>
      </c>
      <c r="L65" s="26" t="n">
        <f aca="false">ROUND($D65/100*H65,1)</f>
        <v>4.8</v>
      </c>
      <c r="M65" s="26" t="n">
        <f aca="false">ROUND($D65/100*I65,1)</f>
        <v>0.2</v>
      </c>
    </row>
    <row r="66" customFormat="false" ht="15" hidden="false" customHeight="true" outlineLevel="0" collapsed="false">
      <c r="A66" s="27" t="s">
        <v>295</v>
      </c>
      <c r="B66" s="27" t="s">
        <v>296</v>
      </c>
      <c r="C66" s="27" t="s">
        <v>154</v>
      </c>
      <c r="D66" s="29" t="n">
        <v>80</v>
      </c>
      <c r="E66" s="29"/>
      <c r="F66" s="26" t="n">
        <f aca="false">IFERROR(VLOOKUP($C66,①食材库!$B:$F,2,FALSE()),0)</f>
        <v>15</v>
      </c>
      <c r="G66" s="26" t="n">
        <f aca="false">IFERROR(VLOOKUP($C66,①食材库!$B:$F,3,FALSE()),0)</f>
        <v>0.7</v>
      </c>
      <c r="H66" s="26" t="n">
        <f aca="false">IFERROR(VLOOKUP($C66,①食材库!$B:$F,4,FALSE()),0)</f>
        <v>3.6</v>
      </c>
      <c r="I66" s="26" t="n">
        <f aca="false">IFERROR(VLOOKUP($C66,①食材库!$B:$F,5,FALSE()),0)</f>
        <v>0.1</v>
      </c>
      <c r="J66" s="26" t="n">
        <f aca="false">ROUND($D66/100*F66,0)</f>
        <v>12</v>
      </c>
      <c r="K66" s="26" t="n">
        <f aca="false">ROUND($D66/100*G66,1)</f>
        <v>0.6</v>
      </c>
      <c r="L66" s="26" t="n">
        <f aca="false">ROUND($D66/100*H66,1)</f>
        <v>2.9</v>
      </c>
      <c r="M66" s="26" t="n">
        <f aca="false">ROUND($D66/100*I66,1)</f>
        <v>0.1</v>
      </c>
    </row>
    <row r="67" customFormat="false" ht="29.25" hidden="false" customHeight="true" outlineLevel="0" collapsed="false">
      <c r="A67" s="27" t="s">
        <v>295</v>
      </c>
      <c r="B67" s="27" t="s">
        <v>296</v>
      </c>
      <c r="C67" s="27" t="s">
        <v>47</v>
      </c>
      <c r="D67" s="29" t="n">
        <v>150</v>
      </c>
      <c r="E67" s="29" t="s">
        <v>297</v>
      </c>
      <c r="F67" s="26" t="n">
        <f aca="false">IFERROR(VLOOKUP($C67,①食材库!$B:$F,2,FALSE()),0)</f>
        <v>120</v>
      </c>
      <c r="G67" s="26" t="n">
        <f aca="false">IFERROR(VLOOKUP($C67,①食材库!$B:$F,3,FALSE()),0)</f>
        <v>23</v>
      </c>
      <c r="H67" s="26" t="n">
        <f aca="false">IFERROR(VLOOKUP($C67,①食材库!$B:$F,4,FALSE()),0)</f>
        <v>0</v>
      </c>
      <c r="I67" s="26" t="n">
        <f aca="false">IFERROR(VLOOKUP($C67,①食材库!$B:$F,5,FALSE()),0)</f>
        <v>2.6</v>
      </c>
      <c r="J67" s="26" t="n">
        <f aca="false">ROUND($D67/100*F67,0)</f>
        <v>180</v>
      </c>
      <c r="K67" s="26" t="n">
        <f aca="false">ROUND($D67/100*G67,1)</f>
        <v>34.5</v>
      </c>
      <c r="L67" s="26" t="n">
        <f aca="false">ROUND($D67/100*H67,1)</f>
        <v>0</v>
      </c>
      <c r="M67" s="26" t="n">
        <f aca="false">ROUND($D67/100*I67,1)</f>
        <v>3.9</v>
      </c>
    </row>
    <row r="68" customFormat="false" ht="15" hidden="false" customHeight="true" outlineLevel="0" collapsed="false">
      <c r="A68" s="27" t="s">
        <v>295</v>
      </c>
      <c r="B68" s="27" t="s">
        <v>296</v>
      </c>
      <c r="C68" s="27" t="s">
        <v>195</v>
      </c>
      <c r="D68" s="29" t="n">
        <v>15</v>
      </c>
      <c r="E68" s="29"/>
      <c r="F68" s="26" t="n">
        <f aca="false">IFERROR(VLOOKUP($C68,①食材库!$B:$F,2,FALSE()),0)</f>
        <v>88</v>
      </c>
      <c r="G68" s="26" t="n">
        <f aca="false">IFERROR(VLOOKUP($C68,①食材库!$B:$F,3,FALSE()),0)</f>
        <v>0.5</v>
      </c>
      <c r="H68" s="26" t="n">
        <f aca="false">IFERROR(VLOOKUP($C68,①食材库!$B:$F,4,FALSE()),0)</f>
        <v>17</v>
      </c>
      <c r="I68" s="26" t="n">
        <f aca="false">IFERROR(VLOOKUP($C68,①食材库!$B:$F,5,FALSE()),0)</f>
        <v>0</v>
      </c>
      <c r="J68" s="26" t="n">
        <f aca="false">ROUND($D68/100*F68,0)</f>
        <v>13</v>
      </c>
      <c r="K68" s="26" t="n">
        <f aca="false">ROUND($D68/100*G68,1)</f>
        <v>0.1</v>
      </c>
      <c r="L68" s="26" t="n">
        <f aca="false">ROUND($D68/100*H68,1)</f>
        <v>2.6</v>
      </c>
      <c r="M68" s="26" t="n">
        <f aca="false">ROUND($D68/100*I68,1)</f>
        <v>0</v>
      </c>
    </row>
    <row r="69" customFormat="false" ht="15" hidden="false" customHeight="true" outlineLevel="0" collapsed="false">
      <c r="A69" s="23" t="s">
        <v>298</v>
      </c>
      <c r="B69" s="23" t="s">
        <v>296</v>
      </c>
      <c r="C69" s="23" t="s">
        <v>114</v>
      </c>
      <c r="D69" s="25" t="n">
        <v>56</v>
      </c>
      <c r="E69" s="24" t="s">
        <v>299</v>
      </c>
      <c r="F69" s="26" t="n">
        <f aca="false">IFERROR(VLOOKUP($C69,①食材库!$B:$F,2,FALSE()),0)</f>
        <v>268</v>
      </c>
      <c r="G69" s="26" t="n">
        <f aca="false">IFERROR(VLOOKUP($C69,①食材库!$B:$F,3,FALSE()),0)</f>
        <v>14</v>
      </c>
      <c r="H69" s="26" t="n">
        <f aca="false">IFERROR(VLOOKUP($C69,①食材库!$B:$F,4,FALSE()),0)</f>
        <v>46</v>
      </c>
      <c r="I69" s="26" t="n">
        <f aca="false">IFERROR(VLOOKUP($C69,①食材库!$B:$F,5,FALSE()),0)</f>
        <v>3.6</v>
      </c>
      <c r="J69" s="26" t="n">
        <f aca="false">ROUND($D69/100*F69,0)</f>
        <v>150</v>
      </c>
      <c r="K69" s="26" t="n">
        <f aca="false">ROUND($D69/100*G69,1)</f>
        <v>7.8</v>
      </c>
      <c r="L69" s="26" t="n">
        <f aca="false">ROUND($D69/100*H69,1)</f>
        <v>25.8</v>
      </c>
      <c r="M69" s="26" t="n">
        <f aca="false">ROUND($D69/100*I69,1)</f>
        <v>2</v>
      </c>
    </row>
    <row r="70" customFormat="false" ht="15" hidden="false" customHeight="true" outlineLevel="0" collapsed="false">
      <c r="A70" s="23" t="s">
        <v>298</v>
      </c>
      <c r="B70" s="23" t="s">
        <v>296</v>
      </c>
      <c r="C70" s="23" t="s">
        <v>68</v>
      </c>
      <c r="D70" s="25" t="n">
        <v>80</v>
      </c>
      <c r="E70" s="25" t="s">
        <v>300</v>
      </c>
      <c r="F70" s="26" t="n">
        <f aca="false">IFERROR(VLOOKUP($C70,①食材库!$B:$F,2,FALSE()),0)</f>
        <v>127</v>
      </c>
      <c r="G70" s="26" t="n">
        <f aca="false">IFERROR(VLOOKUP($C70,①食材库!$B:$F,3,FALSE()),0)</f>
        <v>23.2</v>
      </c>
      <c r="H70" s="26" t="n">
        <f aca="false">IFERROR(VLOOKUP($C70,①食材库!$B:$F,4,FALSE()),0)</f>
        <v>0</v>
      </c>
      <c r="I70" s="26" t="n">
        <f aca="false">IFERROR(VLOOKUP($C70,①食材库!$B:$F,5,FALSE()),0)</f>
        <v>3.5</v>
      </c>
      <c r="J70" s="26" t="n">
        <f aca="false">ROUND($D70/100*F70,0)</f>
        <v>102</v>
      </c>
      <c r="K70" s="26" t="n">
        <f aca="false">ROUND($D70/100*G70,1)</f>
        <v>18.6</v>
      </c>
      <c r="L70" s="26" t="n">
        <f aca="false">ROUND($D70/100*H70,1)</f>
        <v>0</v>
      </c>
      <c r="M70" s="26" t="n">
        <f aca="false">ROUND($D70/100*I70,1)</f>
        <v>2.8</v>
      </c>
    </row>
    <row r="71" customFormat="false" ht="15" hidden="false" customHeight="true" outlineLevel="0" collapsed="false">
      <c r="A71" s="23" t="s">
        <v>298</v>
      </c>
      <c r="B71" s="23" t="s">
        <v>296</v>
      </c>
      <c r="C71" s="23" t="s">
        <v>148</v>
      </c>
      <c r="D71" s="25" t="n">
        <v>30</v>
      </c>
      <c r="E71" s="25"/>
      <c r="F71" s="26" t="n">
        <f aca="false">IFERROR(VLOOKUP($C71,①食材库!$B:$F,2,FALSE()),0)</f>
        <v>15</v>
      </c>
      <c r="G71" s="26" t="n">
        <f aca="false">IFERROR(VLOOKUP($C71,①食材库!$B:$F,3,FALSE()),0)</f>
        <v>1.4</v>
      </c>
      <c r="H71" s="26" t="n">
        <f aca="false">IFERROR(VLOOKUP($C71,①食材库!$B:$F,4,FALSE()),0)</f>
        <v>2.9</v>
      </c>
      <c r="I71" s="26" t="n">
        <f aca="false">IFERROR(VLOOKUP($C71,①食材库!$B:$F,5,FALSE()),0)</f>
        <v>0.2</v>
      </c>
      <c r="J71" s="26" t="n">
        <f aca="false">ROUND($D71/100*F71,0)</f>
        <v>5</v>
      </c>
      <c r="K71" s="26" t="n">
        <f aca="false">ROUND($D71/100*G71,1)</f>
        <v>0.4</v>
      </c>
      <c r="L71" s="26" t="n">
        <f aca="false">ROUND($D71/100*H71,1)</f>
        <v>0.9</v>
      </c>
      <c r="M71" s="26" t="n">
        <f aca="false">ROUND($D71/100*I71,1)</f>
        <v>0.1</v>
      </c>
    </row>
    <row r="72" customFormat="false" ht="15" hidden="false" customHeight="true" outlineLevel="0" collapsed="false">
      <c r="A72" s="23" t="s">
        <v>298</v>
      </c>
      <c r="B72" s="23" t="s">
        <v>296</v>
      </c>
      <c r="C72" s="23" t="s">
        <v>157</v>
      </c>
      <c r="D72" s="25" t="n">
        <v>50</v>
      </c>
      <c r="E72" s="25"/>
      <c r="F72" s="26" t="n">
        <f aca="false">IFERROR(VLOOKUP($C72,①食材库!$B:$F,2,FALSE()),0)</f>
        <v>18</v>
      </c>
      <c r="G72" s="26" t="n">
        <f aca="false">IFERROR(VLOOKUP($C72,①食材库!$B:$F,3,FALSE()),0)</f>
        <v>0.9</v>
      </c>
      <c r="H72" s="26" t="n">
        <f aca="false">IFERROR(VLOOKUP($C72,①食材库!$B:$F,4,FALSE()),0)</f>
        <v>3.9</v>
      </c>
      <c r="I72" s="26" t="n">
        <f aca="false">IFERROR(VLOOKUP($C72,①食材库!$B:$F,5,FALSE()),0)</f>
        <v>0.2</v>
      </c>
      <c r="J72" s="26" t="n">
        <f aca="false">ROUND($D72/100*F72,0)</f>
        <v>9</v>
      </c>
      <c r="K72" s="26" t="n">
        <f aca="false">ROUND($D72/100*G72,1)</f>
        <v>0.5</v>
      </c>
      <c r="L72" s="26" t="n">
        <f aca="false">ROUND($D72/100*H72,1)</f>
        <v>2</v>
      </c>
      <c r="M72" s="26" t="n">
        <f aca="false">ROUND($D72/100*I72,1)</f>
        <v>0.1</v>
      </c>
    </row>
    <row r="73" customFormat="false" ht="15" hidden="false" customHeight="true" outlineLevel="0" collapsed="false">
      <c r="A73" s="23" t="s">
        <v>298</v>
      </c>
      <c r="B73" s="23" t="s">
        <v>296</v>
      </c>
      <c r="C73" s="23" t="s">
        <v>128</v>
      </c>
      <c r="D73" s="25" t="n">
        <v>50</v>
      </c>
      <c r="E73" s="25" t="s">
        <v>260</v>
      </c>
      <c r="F73" s="26" t="n">
        <f aca="false">IFERROR(VLOOKUP($C73,①食材库!$B:$F,2,FALSE()),0)</f>
        <v>160</v>
      </c>
      <c r="G73" s="26" t="n">
        <f aca="false">IFERROR(VLOOKUP($C73,①食材库!$B:$F,3,FALSE()),0)</f>
        <v>2</v>
      </c>
      <c r="H73" s="26" t="n">
        <f aca="false">IFERROR(VLOOKUP($C73,①食材库!$B:$F,4,FALSE()),0)</f>
        <v>9</v>
      </c>
      <c r="I73" s="26" t="n">
        <f aca="false">IFERROR(VLOOKUP($C73,①食材库!$B:$F,5,FALSE()),0)</f>
        <v>15</v>
      </c>
      <c r="J73" s="26" t="n">
        <f aca="false">ROUND($D73/100*F73,0)</f>
        <v>80</v>
      </c>
      <c r="K73" s="26" t="n">
        <f aca="false">ROUND($D73/100*G73,1)</f>
        <v>1</v>
      </c>
      <c r="L73" s="26" t="n">
        <f aca="false">ROUND($D73/100*H73,1)</f>
        <v>4.5</v>
      </c>
      <c r="M73" s="26" t="n">
        <f aca="false">ROUND($D73/100*I73,1)</f>
        <v>7.5</v>
      </c>
    </row>
    <row r="74" customFormat="false" ht="15" hidden="false" customHeight="true" outlineLevel="0" collapsed="false">
      <c r="A74" s="30" t="s">
        <v>301</v>
      </c>
      <c r="B74" s="27" t="s">
        <v>296</v>
      </c>
      <c r="C74" s="27" t="s">
        <v>122</v>
      </c>
      <c r="D74" s="29" t="n">
        <v>100</v>
      </c>
      <c r="E74" s="29" t="s">
        <v>302</v>
      </c>
      <c r="F74" s="26" t="n">
        <f aca="false">IFERROR(VLOOKUP($C74,①食材库!$B:$F,2,FALSE()),0)</f>
        <v>360</v>
      </c>
      <c r="G74" s="26" t="n">
        <f aca="false">IFERROR(VLOOKUP($C74,①食材库!$B:$F,3,FALSE()),0)</f>
        <v>13</v>
      </c>
      <c r="H74" s="26" t="n">
        <f aca="false">IFERROR(VLOOKUP($C74,①食材库!$B:$F,4,FALSE()),0)</f>
        <v>72</v>
      </c>
      <c r="I74" s="26" t="n">
        <f aca="false">IFERROR(VLOOKUP($C74,①食材库!$B:$F,5,FALSE()),0)</f>
        <v>1.5</v>
      </c>
      <c r="J74" s="26" t="n">
        <f aca="false">ROUND($D74/100*F74,0)</f>
        <v>360</v>
      </c>
      <c r="K74" s="26" t="n">
        <f aca="false">ROUND($D74/100*G74,1)</f>
        <v>13</v>
      </c>
      <c r="L74" s="26" t="n">
        <f aca="false">ROUND($D74/100*H74,1)</f>
        <v>72</v>
      </c>
      <c r="M74" s="26" t="n">
        <f aca="false">ROUND($D74/100*I74,1)</f>
        <v>1.5</v>
      </c>
    </row>
    <row r="75" customFormat="false" ht="15" hidden="false" customHeight="true" outlineLevel="0" collapsed="false">
      <c r="A75" s="30" t="s">
        <v>301</v>
      </c>
      <c r="B75" s="27" t="s">
        <v>296</v>
      </c>
      <c r="C75" s="27" t="s">
        <v>155</v>
      </c>
      <c r="D75" s="29" t="n">
        <v>80</v>
      </c>
      <c r="E75" s="29"/>
      <c r="F75" s="26" t="n">
        <f aca="false">IFERROR(VLOOKUP($C75,①食材库!$B:$F,2,FALSE()),0)</f>
        <v>31</v>
      </c>
      <c r="G75" s="26" t="n">
        <f aca="false">IFERROR(VLOOKUP($C75,①食材库!$B:$F,3,FALSE()),0)</f>
        <v>1</v>
      </c>
      <c r="H75" s="26" t="n">
        <f aca="false">IFERROR(VLOOKUP($C75,①食材库!$B:$F,4,FALSE()),0)</f>
        <v>6</v>
      </c>
      <c r="I75" s="26" t="n">
        <f aca="false">IFERROR(VLOOKUP($C75,①食材库!$B:$F,5,FALSE()),0)</f>
        <v>0.3</v>
      </c>
      <c r="J75" s="26" t="n">
        <f aca="false">ROUND($D75/100*F75,0)</f>
        <v>25</v>
      </c>
      <c r="K75" s="26" t="n">
        <f aca="false">ROUND($D75/100*G75,1)</f>
        <v>0.8</v>
      </c>
      <c r="L75" s="26" t="n">
        <f aca="false">ROUND($D75/100*H75,1)</f>
        <v>4.8</v>
      </c>
      <c r="M75" s="26" t="n">
        <f aca="false">ROUND($D75/100*I75,1)</f>
        <v>0.2</v>
      </c>
    </row>
    <row r="76" customFormat="false" ht="15" hidden="false" customHeight="true" outlineLevel="0" collapsed="false">
      <c r="A76" s="30" t="s">
        <v>301</v>
      </c>
      <c r="B76" s="27" t="s">
        <v>296</v>
      </c>
      <c r="C76" s="27" t="s">
        <v>154</v>
      </c>
      <c r="D76" s="29" t="n">
        <v>80</v>
      </c>
      <c r="E76" s="29"/>
      <c r="F76" s="26" t="n">
        <f aca="false">IFERROR(VLOOKUP($C76,①食材库!$B:$F,2,FALSE()),0)</f>
        <v>15</v>
      </c>
      <c r="G76" s="26" t="n">
        <f aca="false">IFERROR(VLOOKUP($C76,①食材库!$B:$F,3,FALSE()),0)</f>
        <v>0.7</v>
      </c>
      <c r="H76" s="26" t="n">
        <f aca="false">IFERROR(VLOOKUP($C76,①食材库!$B:$F,4,FALSE()),0)</f>
        <v>3.6</v>
      </c>
      <c r="I76" s="26" t="n">
        <f aca="false">IFERROR(VLOOKUP($C76,①食材库!$B:$F,5,FALSE()),0)</f>
        <v>0.1</v>
      </c>
      <c r="J76" s="26" t="n">
        <f aca="false">ROUND($D76/100*F76,0)</f>
        <v>12</v>
      </c>
      <c r="K76" s="26" t="n">
        <f aca="false">ROUND($D76/100*G76,1)</f>
        <v>0.6</v>
      </c>
      <c r="L76" s="26" t="n">
        <f aca="false">ROUND($D76/100*H76,1)</f>
        <v>2.9</v>
      </c>
      <c r="M76" s="26" t="n">
        <f aca="false">ROUND($D76/100*I76,1)</f>
        <v>0.1</v>
      </c>
    </row>
    <row r="77" customFormat="false" ht="15" hidden="false" customHeight="true" outlineLevel="0" collapsed="false">
      <c r="A77" s="30" t="s">
        <v>301</v>
      </c>
      <c r="B77" s="27" t="s">
        <v>296</v>
      </c>
      <c r="C77" s="27" t="s">
        <v>64</v>
      </c>
      <c r="D77" s="29" t="n">
        <v>100</v>
      </c>
      <c r="E77" s="29"/>
      <c r="F77" s="26" t="n">
        <f aca="false">IFERROR(VLOOKUP($C77,①食材库!$B:$F,2,FALSE()),0)</f>
        <v>85</v>
      </c>
      <c r="G77" s="26" t="n">
        <f aca="false">IFERROR(VLOOKUP($C77,①食材库!$B:$F,3,FALSE()),0)</f>
        <v>20</v>
      </c>
      <c r="H77" s="26" t="n">
        <f aca="false">IFERROR(VLOOKUP($C77,①食材库!$B:$F,4,FALSE()),0)</f>
        <v>0</v>
      </c>
      <c r="I77" s="26" t="n">
        <f aca="false">IFERROR(VLOOKUP($C77,①食材库!$B:$F,5,FALSE()),0)</f>
        <v>0.5</v>
      </c>
      <c r="J77" s="26" t="n">
        <f aca="false">ROUND($D77/100*F77,0)</f>
        <v>85</v>
      </c>
      <c r="K77" s="26" t="n">
        <f aca="false">ROUND($D77/100*G77,1)</f>
        <v>20</v>
      </c>
      <c r="L77" s="26" t="n">
        <f aca="false">ROUND($D77/100*H77,1)</f>
        <v>0</v>
      </c>
      <c r="M77" s="26" t="n">
        <f aca="false">ROUND($D77/100*I77,1)</f>
        <v>0.5</v>
      </c>
    </row>
    <row r="78" customFormat="false" ht="15" hidden="false" customHeight="true" outlineLevel="0" collapsed="false">
      <c r="A78" s="30" t="s">
        <v>301</v>
      </c>
      <c r="B78" s="27" t="s">
        <v>296</v>
      </c>
      <c r="C78" s="27" t="s">
        <v>195</v>
      </c>
      <c r="D78" s="29" t="n">
        <v>15</v>
      </c>
      <c r="E78" s="29"/>
      <c r="F78" s="26" t="n">
        <f aca="false">IFERROR(VLOOKUP($C78,①食材库!$B:$F,2,FALSE()),0)</f>
        <v>88</v>
      </c>
      <c r="G78" s="26" t="n">
        <f aca="false">IFERROR(VLOOKUP($C78,①食材库!$B:$F,3,FALSE()),0)</f>
        <v>0.5</v>
      </c>
      <c r="H78" s="26" t="n">
        <f aca="false">IFERROR(VLOOKUP($C78,①食材库!$B:$F,4,FALSE()),0)</f>
        <v>17</v>
      </c>
      <c r="I78" s="26" t="n">
        <f aca="false">IFERROR(VLOOKUP($C78,①食材库!$B:$F,5,FALSE()),0)</f>
        <v>0</v>
      </c>
      <c r="J78" s="26" t="n">
        <f aca="false">ROUND($D78/100*F78,0)</f>
        <v>13</v>
      </c>
      <c r="K78" s="26" t="n">
        <f aca="false">ROUND($D78/100*G78,1)</f>
        <v>0.1</v>
      </c>
      <c r="L78" s="26" t="n">
        <f aca="false">ROUND($D78/100*H78,1)</f>
        <v>2.6</v>
      </c>
      <c r="M78" s="26" t="n">
        <f aca="false">ROUND($D78/100*I78,1)</f>
        <v>0</v>
      </c>
    </row>
    <row r="79" customFormat="false" ht="15" hidden="false" customHeight="true" outlineLevel="0" collapsed="false">
      <c r="A79" s="23" t="s">
        <v>303</v>
      </c>
      <c r="B79" s="23" t="s">
        <v>296</v>
      </c>
      <c r="C79" s="23" t="s">
        <v>120</v>
      </c>
      <c r="D79" s="25" t="n">
        <v>200</v>
      </c>
      <c r="E79" s="25"/>
      <c r="F79" s="26" t="n">
        <f aca="false">IFERROR(VLOOKUP($C79,①食材库!$B:$F,2,FALSE()),0)</f>
        <v>130</v>
      </c>
      <c r="G79" s="26" t="n">
        <f aca="false">IFERROR(VLOOKUP($C79,①食材库!$B:$F,3,FALSE()),0)</f>
        <v>3</v>
      </c>
      <c r="H79" s="26" t="n">
        <f aca="false">IFERROR(VLOOKUP($C79,①食材库!$B:$F,4,FALSE()),0)</f>
        <v>27</v>
      </c>
      <c r="I79" s="26" t="n">
        <f aca="false">IFERROR(VLOOKUP($C79,①食材库!$B:$F,5,FALSE()),0)</f>
        <v>0.5</v>
      </c>
      <c r="J79" s="26" t="n">
        <f aca="false">ROUND($D79/100*F79,0)</f>
        <v>260</v>
      </c>
      <c r="K79" s="26" t="n">
        <f aca="false">ROUND($D79/100*G79,1)</f>
        <v>6</v>
      </c>
      <c r="L79" s="26" t="n">
        <f aca="false">ROUND($D79/100*H79,1)</f>
        <v>54</v>
      </c>
      <c r="M79" s="26" t="n">
        <f aca="false">ROUND($D79/100*I79,1)</f>
        <v>1</v>
      </c>
    </row>
    <row r="80" customFormat="false" ht="15" hidden="false" customHeight="true" outlineLevel="0" collapsed="false">
      <c r="A80" s="23" t="s">
        <v>303</v>
      </c>
      <c r="B80" s="23" t="s">
        <v>296</v>
      </c>
      <c r="C80" s="23" t="s">
        <v>199</v>
      </c>
      <c r="D80" s="25" t="n">
        <v>20</v>
      </c>
      <c r="E80" s="25"/>
      <c r="F80" s="26" t="n">
        <f aca="false">IFERROR(VLOOKUP($C80,①食材库!$B:$F,2,FALSE()),0)</f>
        <v>50</v>
      </c>
      <c r="G80" s="26" t="n">
        <f aca="false">IFERROR(VLOOKUP($C80,①食材库!$B:$F,3,FALSE()),0)</f>
        <v>1.5</v>
      </c>
      <c r="H80" s="26" t="n">
        <f aca="false">IFERROR(VLOOKUP($C80,①食材库!$B:$F,4,FALSE()),0)</f>
        <v>10</v>
      </c>
      <c r="I80" s="26" t="n">
        <f aca="false">IFERROR(VLOOKUP($C80,①食材库!$B:$F,5,FALSE()),0)</f>
        <v>0</v>
      </c>
      <c r="J80" s="26" t="n">
        <f aca="false">ROUND($D80/100*F80,0)</f>
        <v>10</v>
      </c>
      <c r="K80" s="26" t="n">
        <f aca="false">ROUND($D80/100*G80,1)</f>
        <v>0.3</v>
      </c>
      <c r="L80" s="26" t="n">
        <f aca="false">ROUND($D80/100*H80,1)</f>
        <v>2</v>
      </c>
      <c r="M80" s="26" t="n">
        <f aca="false">ROUND($D80/100*I80,1)</f>
        <v>0</v>
      </c>
    </row>
    <row r="81" customFormat="false" ht="15" hidden="false" customHeight="true" outlineLevel="0" collapsed="false">
      <c r="A81" s="23" t="s">
        <v>303</v>
      </c>
      <c r="B81" s="23" t="s">
        <v>296</v>
      </c>
      <c r="C81" s="23" t="s">
        <v>149</v>
      </c>
      <c r="D81" s="25" t="n">
        <v>50</v>
      </c>
      <c r="E81" s="25"/>
      <c r="F81" s="26" t="n">
        <f aca="false">IFERROR(VLOOKUP($C81,①食材库!$B:$F,2,FALSE()),0)</f>
        <v>23</v>
      </c>
      <c r="G81" s="26" t="n">
        <f aca="false">IFERROR(VLOOKUP($C81,①食材库!$B:$F,3,FALSE()),0)</f>
        <v>2.9</v>
      </c>
      <c r="H81" s="26" t="n">
        <f aca="false">IFERROR(VLOOKUP($C81,①食材库!$B:$F,4,FALSE()),0)</f>
        <v>3.6</v>
      </c>
      <c r="I81" s="26" t="n">
        <f aca="false">IFERROR(VLOOKUP($C81,①食材库!$B:$F,5,FALSE()),0)</f>
        <v>0.4</v>
      </c>
      <c r="J81" s="26" t="n">
        <f aca="false">ROUND($D81/100*F81,0)</f>
        <v>12</v>
      </c>
      <c r="K81" s="26" t="n">
        <f aca="false">ROUND($D81/100*G81,1)</f>
        <v>1.5</v>
      </c>
      <c r="L81" s="26" t="n">
        <f aca="false">ROUND($D81/100*H81,1)</f>
        <v>1.8</v>
      </c>
      <c r="M81" s="26" t="n">
        <f aca="false">ROUND($D81/100*I81,1)</f>
        <v>0.2</v>
      </c>
    </row>
    <row r="82" customFormat="false" ht="15" hidden="false" customHeight="true" outlineLevel="0" collapsed="false">
      <c r="A82" s="23" t="s">
        <v>303</v>
      </c>
      <c r="B82" s="23" t="s">
        <v>296</v>
      </c>
      <c r="C82" s="23" t="s">
        <v>72</v>
      </c>
      <c r="D82" s="25" t="n">
        <v>50</v>
      </c>
      <c r="E82" s="24" t="s">
        <v>283</v>
      </c>
      <c r="F82" s="26" t="n">
        <f aca="false">IFERROR(VLOOKUP($C82,①食材库!$B:$F,2,FALSE()),0)</f>
        <v>144</v>
      </c>
      <c r="G82" s="26" t="n">
        <f aca="false">IFERROR(VLOOKUP($C82,①食材库!$B:$F,3,FALSE()),0)</f>
        <v>12.6</v>
      </c>
      <c r="H82" s="26" t="n">
        <f aca="false">IFERROR(VLOOKUP($C82,①食材库!$B:$F,4,FALSE()),0)</f>
        <v>0.8</v>
      </c>
      <c r="I82" s="26" t="n">
        <f aca="false">IFERROR(VLOOKUP($C82,①食材库!$B:$F,5,FALSE()),0)</f>
        <v>9.6</v>
      </c>
      <c r="J82" s="26" t="n">
        <f aca="false">ROUND($D82/100*F82,0)</f>
        <v>72</v>
      </c>
      <c r="K82" s="26" t="n">
        <f aca="false">ROUND($D82/100*G82,1)</f>
        <v>6.3</v>
      </c>
      <c r="L82" s="26" t="n">
        <f aca="false">ROUND($D82/100*H82,1)</f>
        <v>0.4</v>
      </c>
      <c r="M82" s="26" t="n">
        <f aca="false">ROUND($D82/100*I82,1)</f>
        <v>4.8</v>
      </c>
    </row>
    <row r="83" customFormat="false" ht="15" hidden="false" customHeight="true" outlineLevel="0" collapsed="false">
      <c r="A83" s="27" t="s">
        <v>304</v>
      </c>
      <c r="B83" s="27" t="s">
        <v>296</v>
      </c>
      <c r="C83" s="27" t="s">
        <v>157</v>
      </c>
      <c r="D83" s="29" t="n">
        <v>200</v>
      </c>
      <c r="E83" s="29"/>
      <c r="F83" s="26" t="n">
        <f aca="false">IFERROR(VLOOKUP($C83,①食材库!$B:$F,2,FALSE()),0)</f>
        <v>18</v>
      </c>
      <c r="G83" s="26" t="n">
        <f aca="false">IFERROR(VLOOKUP($C83,①食材库!$B:$F,3,FALSE()),0)</f>
        <v>0.9</v>
      </c>
      <c r="H83" s="26" t="n">
        <f aca="false">IFERROR(VLOOKUP($C83,①食材库!$B:$F,4,FALSE()),0)</f>
        <v>3.9</v>
      </c>
      <c r="I83" s="26" t="n">
        <f aca="false">IFERROR(VLOOKUP($C83,①食材库!$B:$F,5,FALSE()),0)</f>
        <v>0.2</v>
      </c>
      <c r="J83" s="26" t="n">
        <f aca="false">ROUND($D83/100*F83,0)</f>
        <v>36</v>
      </c>
      <c r="K83" s="26" t="n">
        <f aca="false">ROUND($D83/100*G83,1)</f>
        <v>1.8</v>
      </c>
      <c r="L83" s="26" t="n">
        <f aca="false">ROUND($D83/100*H83,1)</f>
        <v>7.8</v>
      </c>
      <c r="M83" s="26" t="n">
        <f aca="false">ROUND($D83/100*I83,1)</f>
        <v>0.4</v>
      </c>
    </row>
    <row r="84" customFormat="false" ht="15" hidden="false" customHeight="true" outlineLevel="0" collapsed="false">
      <c r="A84" s="27" t="s">
        <v>304</v>
      </c>
      <c r="B84" s="27" t="s">
        <v>296</v>
      </c>
      <c r="C84" s="27" t="s">
        <v>155</v>
      </c>
      <c r="D84" s="29" t="n">
        <v>100</v>
      </c>
      <c r="E84" s="29"/>
      <c r="F84" s="26" t="n">
        <f aca="false">IFERROR(VLOOKUP($C84,①食材库!$B:$F,2,FALSE()),0)</f>
        <v>31</v>
      </c>
      <c r="G84" s="26" t="n">
        <f aca="false">IFERROR(VLOOKUP($C84,①食材库!$B:$F,3,FALSE()),0)</f>
        <v>1</v>
      </c>
      <c r="H84" s="26" t="n">
        <f aca="false">IFERROR(VLOOKUP($C84,①食材库!$B:$F,4,FALSE()),0)</f>
        <v>6</v>
      </c>
      <c r="I84" s="26" t="n">
        <f aca="false">IFERROR(VLOOKUP($C84,①食材库!$B:$F,5,FALSE()),0)</f>
        <v>0.3</v>
      </c>
      <c r="J84" s="26" t="n">
        <f aca="false">ROUND($D84/100*F84,0)</f>
        <v>31</v>
      </c>
      <c r="K84" s="26" t="n">
        <f aca="false">ROUND($D84/100*G84,1)</f>
        <v>1</v>
      </c>
      <c r="L84" s="26" t="n">
        <f aca="false">ROUND($D84/100*H84,1)</f>
        <v>6</v>
      </c>
      <c r="M84" s="26" t="n">
        <f aca="false">ROUND($D84/100*I84,1)</f>
        <v>0.3</v>
      </c>
    </row>
    <row r="85" customFormat="false" ht="15" hidden="false" customHeight="true" outlineLevel="0" collapsed="false">
      <c r="A85" s="27" t="s">
        <v>304</v>
      </c>
      <c r="B85" s="27" t="s">
        <v>296</v>
      </c>
      <c r="C85" s="27" t="s">
        <v>72</v>
      </c>
      <c r="D85" s="29" t="n">
        <v>100</v>
      </c>
      <c r="E85" s="28" t="s">
        <v>305</v>
      </c>
      <c r="F85" s="26" t="n">
        <f aca="false">IFERROR(VLOOKUP($C85,①食材库!$B:$F,2,FALSE()),0)</f>
        <v>144</v>
      </c>
      <c r="G85" s="26" t="n">
        <f aca="false">IFERROR(VLOOKUP($C85,①食材库!$B:$F,3,FALSE()),0)</f>
        <v>12.6</v>
      </c>
      <c r="H85" s="26" t="n">
        <f aca="false">IFERROR(VLOOKUP($C85,①食材库!$B:$F,4,FALSE()),0)</f>
        <v>0.8</v>
      </c>
      <c r="I85" s="26" t="n">
        <f aca="false">IFERROR(VLOOKUP($C85,①食材库!$B:$F,5,FALSE()),0)</f>
        <v>9.6</v>
      </c>
      <c r="J85" s="26" t="n">
        <f aca="false">ROUND($D85/100*F85,0)</f>
        <v>144</v>
      </c>
      <c r="K85" s="26" t="n">
        <f aca="false">ROUND($D85/100*G85,1)</f>
        <v>12.6</v>
      </c>
      <c r="L85" s="26" t="n">
        <f aca="false">ROUND($D85/100*H85,1)</f>
        <v>0.8</v>
      </c>
      <c r="M85" s="26" t="n">
        <f aca="false">ROUND($D85/100*I85,1)</f>
        <v>9.6</v>
      </c>
    </row>
    <row r="86" customFormat="false" ht="15" hidden="false" customHeight="true" outlineLevel="0" collapsed="false">
      <c r="A86" s="27" t="s">
        <v>304</v>
      </c>
      <c r="B86" s="27" t="s">
        <v>296</v>
      </c>
      <c r="C86" s="27" t="s">
        <v>138</v>
      </c>
      <c r="D86" s="29" t="n">
        <v>3</v>
      </c>
      <c r="E86" s="29"/>
      <c r="F86" s="26" t="n">
        <f aca="false">IFERROR(VLOOKUP($C86,①食材库!$B:$F,2,FALSE()),0)</f>
        <v>884</v>
      </c>
      <c r="G86" s="26" t="n">
        <f aca="false">IFERROR(VLOOKUP($C86,①食材库!$B:$F,3,FALSE()),0)</f>
        <v>0</v>
      </c>
      <c r="H86" s="26" t="n">
        <f aca="false">IFERROR(VLOOKUP($C86,①食材库!$B:$F,4,FALSE()),0)</f>
        <v>0</v>
      </c>
      <c r="I86" s="26" t="n">
        <f aca="false">IFERROR(VLOOKUP($C86,①食材库!$B:$F,5,FALSE()),0)</f>
        <v>100</v>
      </c>
      <c r="J86" s="26" t="n">
        <f aca="false">ROUND($D86/100*F86,0)</f>
        <v>27</v>
      </c>
      <c r="K86" s="26" t="n">
        <f aca="false">ROUND($D86/100*G86,1)</f>
        <v>0</v>
      </c>
      <c r="L86" s="26" t="n">
        <f aca="false">ROUND($D86/100*H86,1)</f>
        <v>0</v>
      </c>
      <c r="M86" s="26" t="n">
        <f aca="false">ROUND($D86/100*I86,1)</f>
        <v>3</v>
      </c>
    </row>
    <row r="87" customFormat="false" ht="15" hidden="false" customHeight="true" outlineLevel="0" collapsed="false">
      <c r="A87" s="23" t="s">
        <v>306</v>
      </c>
      <c r="B87" s="31" t="s">
        <v>307</v>
      </c>
      <c r="C87" s="23" t="s">
        <v>72</v>
      </c>
      <c r="D87" s="25" t="n">
        <v>100</v>
      </c>
      <c r="E87" s="24" t="s">
        <v>305</v>
      </c>
      <c r="F87" s="26" t="n">
        <f aca="false">IFERROR(VLOOKUP($C87,①食材库!$B:$F,2,FALSE()),0)</f>
        <v>144</v>
      </c>
      <c r="G87" s="26" t="n">
        <f aca="false">IFERROR(VLOOKUP($C87,①食材库!$B:$F,3,FALSE()),0)</f>
        <v>12.6</v>
      </c>
      <c r="H87" s="26" t="n">
        <f aca="false">IFERROR(VLOOKUP($C87,①食材库!$B:$F,4,FALSE()),0)</f>
        <v>0.8</v>
      </c>
      <c r="I87" s="26" t="n">
        <f aca="false">IFERROR(VLOOKUP($C87,①食材库!$B:$F,5,FALSE()),0)</f>
        <v>9.6</v>
      </c>
      <c r="J87" s="26" t="n">
        <f aca="false">ROUND($D87/100*F87,0)</f>
        <v>144</v>
      </c>
      <c r="K87" s="26" t="n">
        <f aca="false">ROUND($D87/100*G87,1)</f>
        <v>12.6</v>
      </c>
      <c r="L87" s="26" t="n">
        <f aca="false">ROUND($D87/100*H87,1)</f>
        <v>0.8</v>
      </c>
      <c r="M87" s="26" t="n">
        <f aca="false">ROUND($D87/100*I87,1)</f>
        <v>9.6</v>
      </c>
    </row>
    <row r="88" customFormat="false" ht="26.25" hidden="false" customHeight="true" outlineLevel="0" collapsed="false">
      <c r="A88" s="27" t="s">
        <v>308</v>
      </c>
      <c r="B88" s="30" t="s">
        <v>307</v>
      </c>
      <c r="C88" s="27" t="s">
        <v>82</v>
      </c>
      <c r="D88" s="29" t="n">
        <v>200</v>
      </c>
      <c r="E88" s="29"/>
      <c r="F88" s="26" t="n">
        <f aca="false">IFERROR(VLOOKUP($C88,①食材库!$B:$F,2,FALSE()),0)</f>
        <v>59</v>
      </c>
      <c r="G88" s="26" t="n">
        <f aca="false">IFERROR(VLOOKUP($C88,①食材库!$B:$F,3,FALSE()),0)</f>
        <v>10</v>
      </c>
      <c r="H88" s="26" t="n">
        <f aca="false">IFERROR(VLOOKUP($C88,①食材库!$B:$F,4,FALSE()),0)</f>
        <v>3.6</v>
      </c>
      <c r="I88" s="26" t="n">
        <f aca="false">IFERROR(VLOOKUP($C88,①食材库!$B:$F,5,FALSE()),0)</f>
        <v>0</v>
      </c>
      <c r="J88" s="26" t="n">
        <f aca="false">ROUND($D88/100*F88,0)</f>
        <v>118</v>
      </c>
      <c r="K88" s="26" t="n">
        <f aca="false">ROUND($D88/100*G88,1)</f>
        <v>20</v>
      </c>
      <c r="L88" s="26" t="n">
        <f aca="false">ROUND($D88/100*H88,1)</f>
        <v>7.2</v>
      </c>
      <c r="M88" s="26" t="n">
        <f aca="false">ROUND($D88/100*I88,1)</f>
        <v>0</v>
      </c>
    </row>
    <row r="89" customFormat="false" ht="15" hidden="false" customHeight="true" outlineLevel="0" collapsed="false">
      <c r="A89" s="27" t="s">
        <v>308</v>
      </c>
      <c r="B89" s="30" t="s">
        <v>307</v>
      </c>
      <c r="C89" s="27" t="s">
        <v>187</v>
      </c>
      <c r="D89" s="29" t="n">
        <v>100</v>
      </c>
      <c r="E89" s="29"/>
      <c r="F89" s="26" t="n">
        <f aca="false">IFERROR(VLOOKUP($C89,①食材库!$B:$F,2,FALSE()),0)</f>
        <v>89</v>
      </c>
      <c r="G89" s="26" t="n">
        <f aca="false">IFERROR(VLOOKUP($C89,①食材库!$B:$F,3,FALSE()),0)</f>
        <v>1.1</v>
      </c>
      <c r="H89" s="26" t="n">
        <f aca="false">IFERROR(VLOOKUP($C89,①食材库!$B:$F,4,FALSE()),0)</f>
        <v>23</v>
      </c>
      <c r="I89" s="26" t="n">
        <f aca="false">IFERROR(VLOOKUP($C89,①食材库!$B:$F,5,FALSE()),0)</f>
        <v>0.3</v>
      </c>
      <c r="J89" s="26" t="n">
        <f aca="false">ROUND($D89/100*F89,0)</f>
        <v>89</v>
      </c>
      <c r="K89" s="26" t="n">
        <f aca="false">ROUND($D89/100*G89,1)</f>
        <v>1.1</v>
      </c>
      <c r="L89" s="26" t="n">
        <f aca="false">ROUND($D89/100*H89,1)</f>
        <v>23</v>
      </c>
      <c r="M89" s="26" t="n">
        <f aca="false">ROUND($D89/100*I89,1)</f>
        <v>0.3</v>
      </c>
    </row>
    <row r="90" customFormat="false" ht="15" hidden="false" customHeight="true" outlineLevel="0" collapsed="false">
      <c r="A90" s="23" t="s">
        <v>309</v>
      </c>
      <c r="B90" s="31" t="s">
        <v>307</v>
      </c>
      <c r="C90" s="23" t="s">
        <v>132</v>
      </c>
      <c r="D90" s="25" t="n">
        <v>15</v>
      </c>
      <c r="E90" s="25"/>
      <c r="F90" s="26" t="n">
        <f aca="false">IFERROR(VLOOKUP($C90,①食材库!$B:$F,2,FALSE()),0)</f>
        <v>600</v>
      </c>
      <c r="G90" s="26" t="n">
        <f aca="false">IFERROR(VLOOKUP($C90,①食材库!$B:$F,3,FALSE()),0)</f>
        <v>20</v>
      </c>
      <c r="H90" s="26" t="n">
        <f aca="false">IFERROR(VLOOKUP($C90,①食材库!$B:$F,4,FALSE()),0)</f>
        <v>20</v>
      </c>
      <c r="I90" s="26" t="n">
        <f aca="false">IFERROR(VLOOKUP($C90,①食材库!$B:$F,5,FALSE()),0)</f>
        <v>50</v>
      </c>
      <c r="J90" s="26" t="n">
        <f aca="false">ROUND($D90/100*F90,0)</f>
        <v>90</v>
      </c>
      <c r="K90" s="26" t="n">
        <f aca="false">ROUND($D90/100*G90,1)</f>
        <v>3</v>
      </c>
      <c r="L90" s="26" t="n">
        <f aca="false">ROUND($D90/100*H90,1)</f>
        <v>3</v>
      </c>
      <c r="M90" s="26" t="n">
        <f aca="false">ROUND($D90/100*I90,1)</f>
        <v>7.5</v>
      </c>
    </row>
    <row r="91" customFormat="false" ht="15" hidden="false" customHeight="true" outlineLevel="0" collapsed="false">
      <c r="A91" s="27" t="s">
        <v>310</v>
      </c>
      <c r="B91" s="30" t="s">
        <v>307</v>
      </c>
      <c r="C91" s="27" t="s">
        <v>141</v>
      </c>
      <c r="D91" s="29" t="n">
        <v>20</v>
      </c>
      <c r="E91" s="29"/>
      <c r="F91" s="26" t="n">
        <f aca="false">IFERROR(VLOOKUP($C91,①食材库!$B:$F,2,FALSE()),0)</f>
        <v>600</v>
      </c>
      <c r="G91" s="26" t="n">
        <f aca="false">IFERROR(VLOOKUP($C91,①食材库!$B:$F,3,FALSE()),0)</f>
        <v>8</v>
      </c>
      <c r="H91" s="26" t="n">
        <f aca="false">IFERROR(VLOOKUP($C91,①食材库!$B:$F,4,FALSE()),0)</f>
        <v>30</v>
      </c>
      <c r="I91" s="26" t="n">
        <f aca="false">IFERROR(VLOOKUP($C91,①食材库!$B:$F,5,FALSE()),0)</f>
        <v>50</v>
      </c>
      <c r="J91" s="26" t="n">
        <f aca="false">ROUND($D91/100*F91,0)</f>
        <v>120</v>
      </c>
      <c r="K91" s="26" t="n">
        <f aca="false">ROUND($D91/100*G91,1)</f>
        <v>1.6</v>
      </c>
      <c r="L91" s="26" t="n">
        <f aca="false">ROUND($D91/100*H91,1)</f>
        <v>6</v>
      </c>
      <c r="M91" s="26" t="n">
        <f aca="false">ROUND($D91/100*I91,1)</f>
        <v>10</v>
      </c>
    </row>
    <row r="92" customFormat="false" ht="15" hidden="false" customHeight="true" outlineLevel="0" collapsed="false">
      <c r="A92" s="16" t="s">
        <v>204</v>
      </c>
      <c r="B92" s="11" t="s">
        <v>296</v>
      </c>
      <c r="C92" s="16" t="s">
        <v>204</v>
      </c>
      <c r="D92" s="14" t="n">
        <v>100</v>
      </c>
      <c r="E92" s="19" t="s">
        <v>311</v>
      </c>
      <c r="F92" s="32" t="n">
        <f aca="false">IFERROR(VLOOKUP($C92,①食材库!$B:$F,2,FALSE()),0)</f>
        <v>285</v>
      </c>
      <c r="G92" s="32" t="n">
        <f aca="false">IFERROR(VLOOKUP($C92,①食材库!$B:$F,3,FALSE()),0)</f>
        <v>10.5</v>
      </c>
      <c r="H92" s="32" t="n">
        <f aca="false">IFERROR(VLOOKUP($C92,①食材库!$B:$F,4,FALSE()),0)</f>
        <v>56</v>
      </c>
      <c r="I92" s="32" t="n">
        <f aca="false">IFERROR(VLOOKUP($C92,①食材库!$B:$F,5,FALSE()),0)</f>
        <v>3.8</v>
      </c>
      <c r="J92" s="32" t="n">
        <f aca="false">ROUND($D92/100*F92,0)</f>
        <v>285</v>
      </c>
      <c r="K92" s="32" t="n">
        <f aca="false">ROUND($D92/100*G92,1)</f>
        <v>10.5</v>
      </c>
      <c r="L92" s="32" t="n">
        <f aca="false">ROUND($D92/100*H92,1)</f>
        <v>56</v>
      </c>
      <c r="M92" s="32" t="n">
        <f aca="false">ROUND($D92/100*I92,1)</f>
        <v>3.8</v>
      </c>
    </row>
    <row r="93" customFormat="false" ht="26.25" hidden="false" customHeight="true" outlineLevel="0" collapsed="false">
      <c r="A93" s="16" t="s">
        <v>312</v>
      </c>
      <c r="B93" s="16" t="s">
        <v>307</v>
      </c>
      <c r="C93" s="16" t="s">
        <v>207</v>
      </c>
      <c r="D93" s="14" t="n">
        <v>33</v>
      </c>
      <c r="E93" s="19" t="s">
        <v>313</v>
      </c>
      <c r="F93" s="32" t="n">
        <f aca="false">IFERROR(VLOOKUP($C93,①食材库!$B:$F,2,FALSE()),0)</f>
        <v>515</v>
      </c>
      <c r="G93" s="32" t="n">
        <f aca="false">IFERROR(VLOOKUP($C93,①食材库!$B:$F,3,FALSE()),0)</f>
        <v>6.1</v>
      </c>
      <c r="H93" s="32" t="n">
        <f aca="false">IFERROR(VLOOKUP($C93,①食材库!$B:$F,4,FALSE()),0)</f>
        <v>69.7</v>
      </c>
      <c r="I93" s="32" t="n">
        <f aca="false">IFERROR(VLOOKUP($C93,①食材库!$B:$F,5,FALSE()),0)</f>
        <v>21.2</v>
      </c>
      <c r="J93" s="32" t="n">
        <f aca="false">ROUND($D93/100*F93,0)</f>
        <v>170</v>
      </c>
      <c r="K93" s="32" t="n">
        <f aca="false">ROUND($D93/100*G93,1)</f>
        <v>2</v>
      </c>
      <c r="L93" s="32" t="n">
        <f aca="false">ROUND($D93/100*H93,1)</f>
        <v>23</v>
      </c>
      <c r="M93" s="32" t="n">
        <f aca="false">ROUND($D93/100*I93,1)</f>
        <v>7</v>
      </c>
    </row>
    <row r="94" customFormat="false" ht="26.25" hidden="false" customHeight="true" outlineLevel="0" collapsed="false">
      <c r="A94" s="11" t="s">
        <v>314</v>
      </c>
      <c r="B94" s="11" t="s">
        <v>296</v>
      </c>
      <c r="C94" s="11" t="s">
        <v>122</v>
      </c>
      <c r="D94" s="14" t="n">
        <v>90</v>
      </c>
      <c r="E94" s="14" t="s">
        <v>315</v>
      </c>
      <c r="F94" s="32" t="n">
        <f aca="false">IFERROR(VLOOKUP($C94,①食材库!$B:$F,2,FALSE()),0)</f>
        <v>360</v>
      </c>
      <c r="G94" s="32" t="n">
        <f aca="false">IFERROR(VLOOKUP($C94,①食材库!$B:$F,3,FALSE()),0)</f>
        <v>13</v>
      </c>
      <c r="H94" s="32" t="n">
        <f aca="false">IFERROR(VLOOKUP($C94,①食材库!$B:$F,4,FALSE()),0)</f>
        <v>72</v>
      </c>
      <c r="I94" s="32" t="n">
        <f aca="false">IFERROR(VLOOKUP($C94,①食材库!$B:$F,5,FALSE()),0)</f>
        <v>1.5</v>
      </c>
      <c r="J94" s="32" t="n">
        <f aca="false">ROUND($D94/100*F94,0)</f>
        <v>324</v>
      </c>
      <c r="K94" s="32" t="n">
        <f aca="false">ROUND($D94/100*G94,1)</f>
        <v>11.7</v>
      </c>
      <c r="L94" s="32" t="n">
        <f aca="false">ROUND($D94/100*H94,1)</f>
        <v>64.8</v>
      </c>
      <c r="M94" s="32" t="n">
        <f aca="false">ROUND($D94/100*I94,1)</f>
        <v>1.4</v>
      </c>
    </row>
    <row r="95" customFormat="false" ht="15" hidden="false" customHeight="true" outlineLevel="0" collapsed="false">
      <c r="A95" s="11" t="s">
        <v>314</v>
      </c>
      <c r="B95" s="11" t="s">
        <v>296</v>
      </c>
      <c r="C95" s="11" t="s">
        <v>68</v>
      </c>
      <c r="D95" s="14" t="n">
        <v>71</v>
      </c>
      <c r="E95" s="14" t="s">
        <v>316</v>
      </c>
      <c r="F95" s="32" t="n">
        <f aca="false">IFERROR(VLOOKUP($C95,①食材库!$B:$F,2,FALSE()),0)</f>
        <v>127</v>
      </c>
      <c r="G95" s="32" t="n">
        <f aca="false">IFERROR(VLOOKUP($C95,①食材库!$B:$F,3,FALSE()),0)</f>
        <v>23.2</v>
      </c>
      <c r="H95" s="32" t="n">
        <f aca="false">IFERROR(VLOOKUP($C95,①食材库!$B:$F,4,FALSE()),0)</f>
        <v>0</v>
      </c>
      <c r="I95" s="32" t="n">
        <f aca="false">IFERROR(VLOOKUP($C95,①食材库!$B:$F,5,FALSE()),0)</f>
        <v>3.5</v>
      </c>
      <c r="J95" s="32" t="n">
        <f aca="false">ROUND($D95/100*F95,0)</f>
        <v>90</v>
      </c>
      <c r="K95" s="32" t="n">
        <f aca="false">ROUND($D95/100*G95,1)</f>
        <v>16.5</v>
      </c>
      <c r="L95" s="32" t="n">
        <f aca="false">ROUND($D95/100*H95,1)</f>
        <v>0</v>
      </c>
      <c r="M95" s="32" t="n">
        <f aca="false">ROUND($D95/100*I95,1)</f>
        <v>2.5</v>
      </c>
    </row>
    <row r="96" customFormat="false" ht="26.25" hidden="false" customHeight="true" outlineLevel="0" collapsed="false">
      <c r="A96" s="11" t="s">
        <v>314</v>
      </c>
      <c r="B96" s="11" t="s">
        <v>296</v>
      </c>
      <c r="C96" s="11" t="s">
        <v>210</v>
      </c>
      <c r="D96" s="14" t="n">
        <v>18</v>
      </c>
      <c r="E96" s="14" t="s">
        <v>317</v>
      </c>
      <c r="F96" s="32" t="n">
        <f aca="false">IFERROR(VLOOKUP($C96,①食材库!$B:$F,2,FALSE()),0)</f>
        <v>330</v>
      </c>
      <c r="G96" s="32" t="n">
        <f aca="false">IFERROR(VLOOKUP($C96,①食材库!$B:$F,3,FALSE()),0)</f>
        <v>0.6</v>
      </c>
      <c r="H96" s="32" t="n">
        <f aca="false">IFERROR(VLOOKUP($C96,①食材库!$B:$F,4,FALSE()),0)</f>
        <v>9</v>
      </c>
      <c r="I96" s="32" t="n">
        <f aca="false">IFERROR(VLOOKUP($C96,①食材库!$B:$F,5,FALSE()),0)</f>
        <v>33</v>
      </c>
      <c r="J96" s="32" t="n">
        <f aca="false">ROUND($D96/100*F96,0)</f>
        <v>59</v>
      </c>
      <c r="K96" s="32" t="n">
        <f aca="false">ROUND($D96/100*G96,1)</f>
        <v>0.1</v>
      </c>
      <c r="L96" s="32" t="n">
        <f aca="false">ROUND($D96/100*H96,1)</f>
        <v>1.6</v>
      </c>
      <c r="M96" s="32" t="n">
        <f aca="false">ROUND($D96/100*I96,1)</f>
        <v>5.9</v>
      </c>
    </row>
    <row r="97" customFormat="false" ht="15" hidden="false" customHeight="true" outlineLevel="0" collapsed="false">
      <c r="A97" s="11" t="s">
        <v>314</v>
      </c>
      <c r="B97" s="11" t="s">
        <v>296</v>
      </c>
      <c r="C97" s="11" t="s">
        <v>197</v>
      </c>
      <c r="D97" s="14" t="n">
        <v>7</v>
      </c>
      <c r="E97" s="14" t="s">
        <v>318</v>
      </c>
      <c r="F97" s="32" t="n">
        <f aca="false">IFERROR(VLOOKUP($C97,①食材库!$B:$F,2,FALSE()),0)</f>
        <v>60</v>
      </c>
      <c r="G97" s="32" t="n">
        <f aca="false">IFERROR(VLOOKUP($C97,①食材库!$B:$F,3,FALSE()),0)</f>
        <v>4</v>
      </c>
      <c r="H97" s="32" t="n">
        <f aca="false">IFERROR(VLOOKUP($C97,①食材库!$B:$F,4,FALSE()),0)</f>
        <v>5</v>
      </c>
      <c r="I97" s="32" t="n">
        <f aca="false">IFERROR(VLOOKUP($C97,①食材库!$B:$F,5,FALSE()),0)</f>
        <v>3</v>
      </c>
      <c r="J97" s="32" t="n">
        <f aca="false">ROUND($D97/100*F97,0)</f>
        <v>4</v>
      </c>
      <c r="K97" s="32" t="n">
        <f aca="false">ROUND($D97/100*G97,1)</f>
        <v>0.3</v>
      </c>
      <c r="L97" s="32" t="n">
        <f aca="false">ROUND($D97/100*H97,1)</f>
        <v>0.4</v>
      </c>
      <c r="M97" s="32" t="n">
        <f aca="false">ROUND($D97/100*I97,1)</f>
        <v>0.2</v>
      </c>
    </row>
    <row r="98" customFormat="false" ht="15" hidden="false" customHeight="true" outlineLevel="0" collapsed="false">
      <c r="A98" s="11" t="s">
        <v>314</v>
      </c>
      <c r="B98" s="11" t="s">
        <v>296</v>
      </c>
      <c r="C98" s="11" t="s">
        <v>154</v>
      </c>
      <c r="D98" s="14" t="n">
        <v>60</v>
      </c>
      <c r="E98" s="19" t="s">
        <v>319</v>
      </c>
      <c r="F98" s="32" t="n">
        <f aca="false">IFERROR(VLOOKUP($C98,①食材库!$B:$F,2,FALSE()),0)</f>
        <v>15</v>
      </c>
      <c r="G98" s="32" t="n">
        <f aca="false">IFERROR(VLOOKUP($C98,①食材库!$B:$F,3,FALSE()),0)</f>
        <v>0.7</v>
      </c>
      <c r="H98" s="32" t="n">
        <f aca="false">IFERROR(VLOOKUP($C98,①食材库!$B:$F,4,FALSE()),0)</f>
        <v>3.6</v>
      </c>
      <c r="I98" s="32" t="n">
        <f aca="false">IFERROR(VLOOKUP($C98,①食材库!$B:$F,5,FALSE()),0)</f>
        <v>0.1</v>
      </c>
      <c r="J98" s="32" t="n">
        <f aca="false">ROUND($D98/100*F98,0)</f>
        <v>9</v>
      </c>
      <c r="K98" s="32" t="n">
        <f aca="false">ROUND($D98/100*G98,1)</f>
        <v>0.4</v>
      </c>
      <c r="L98" s="32" t="n">
        <f aca="false">ROUND($D98/100*H98,1)</f>
        <v>2.2</v>
      </c>
      <c r="M98" s="32" t="n">
        <f aca="false">ROUND($D98/100*I98,1)</f>
        <v>0.1</v>
      </c>
    </row>
    <row r="99" customFormat="false" ht="15" hidden="false" customHeight="true" outlineLevel="0" collapsed="false">
      <c r="A99" s="11" t="s">
        <v>314</v>
      </c>
      <c r="B99" s="11" t="s">
        <v>296</v>
      </c>
      <c r="C99" s="11" t="s">
        <v>157</v>
      </c>
      <c r="D99" s="14" t="n">
        <v>150</v>
      </c>
      <c r="E99" s="14" t="s">
        <v>320</v>
      </c>
      <c r="F99" s="32" t="n">
        <f aca="false">IFERROR(VLOOKUP($C99,①食材库!$B:$F,2,FALSE()),0)</f>
        <v>18</v>
      </c>
      <c r="G99" s="32" t="n">
        <f aca="false">IFERROR(VLOOKUP($C99,①食材库!$B:$F,3,FALSE()),0)</f>
        <v>0.9</v>
      </c>
      <c r="H99" s="32" t="n">
        <f aca="false">IFERROR(VLOOKUP($C99,①食材库!$B:$F,4,FALSE()),0)</f>
        <v>3.9</v>
      </c>
      <c r="I99" s="32" t="n">
        <f aca="false">IFERROR(VLOOKUP($C99,①食材库!$B:$F,5,FALSE()),0)</f>
        <v>0.2</v>
      </c>
      <c r="J99" s="32" t="n">
        <f aca="false">ROUND($D99/100*F99,0)</f>
        <v>27</v>
      </c>
      <c r="K99" s="32" t="n">
        <f aca="false">ROUND($D99/100*G99,1)</f>
        <v>1.4</v>
      </c>
      <c r="L99" s="32" t="n">
        <f aca="false">ROUND($D99/100*H99,1)</f>
        <v>5.9</v>
      </c>
      <c r="M99" s="32" t="n">
        <f aca="false">ROUND($D99/100*I99,1)</f>
        <v>0.3</v>
      </c>
    </row>
    <row r="100" customFormat="false" ht="15" hidden="false" customHeight="true" outlineLevel="0" collapsed="false">
      <c r="A100" s="11" t="s">
        <v>321</v>
      </c>
      <c r="B100" s="11" t="s">
        <v>296</v>
      </c>
      <c r="C100" s="11" t="s">
        <v>111</v>
      </c>
      <c r="D100" s="14" t="n">
        <v>20</v>
      </c>
      <c r="E100" s="19" t="s">
        <v>322</v>
      </c>
      <c r="F100" s="32" t="n">
        <f aca="false">IFERROR(VLOOKUP($C100,①食材库!$B:$F,2,FALSE()),0)</f>
        <v>380</v>
      </c>
      <c r="G100" s="32" t="n">
        <f aca="false">IFERROR(VLOOKUP($C100,①食材库!$B:$F,3,FALSE()),0)</f>
        <v>13</v>
      </c>
      <c r="H100" s="32" t="n">
        <f aca="false">IFERROR(VLOOKUP($C100,①食材库!$B:$F,4,FALSE()),0)</f>
        <v>67</v>
      </c>
      <c r="I100" s="32" t="n">
        <f aca="false">IFERROR(VLOOKUP($C100,①食材库!$B:$F,5,FALSE()),0)</f>
        <v>7</v>
      </c>
      <c r="J100" s="32" t="n">
        <f aca="false">ROUND($D100/100*F100,0)</f>
        <v>76</v>
      </c>
      <c r="K100" s="32" t="n">
        <f aca="false">ROUND($D100/100*G100,1)</f>
        <v>2.6</v>
      </c>
      <c r="L100" s="32" t="n">
        <f aca="false">ROUND($D100/100*H100,1)</f>
        <v>13.4</v>
      </c>
      <c r="M100" s="32" t="n">
        <f aca="false">ROUND($D100/100*I100,1)</f>
        <v>1.4</v>
      </c>
    </row>
    <row r="101" customFormat="false" ht="15" hidden="false" customHeight="true" outlineLevel="0" collapsed="false">
      <c r="A101" s="11" t="s">
        <v>321</v>
      </c>
      <c r="B101" s="11" t="s">
        <v>296</v>
      </c>
      <c r="C101" s="11" t="s">
        <v>89</v>
      </c>
      <c r="D101" s="14" t="n">
        <v>20</v>
      </c>
      <c r="E101" s="19" t="s">
        <v>323</v>
      </c>
      <c r="F101" s="32" t="n">
        <f aca="false">IFERROR(VLOOKUP($C101,①食材库!$B:$F,2,FALSE()),0)</f>
        <v>50</v>
      </c>
      <c r="G101" s="32" t="n">
        <f aca="false">IFERROR(VLOOKUP($C101,①食材库!$B:$F,3,FALSE()),0)</f>
        <v>3.4</v>
      </c>
      <c r="H101" s="32" t="n">
        <f aca="false">IFERROR(VLOOKUP($C101,①食材库!$B:$F,4,FALSE()),0)</f>
        <v>4.8</v>
      </c>
      <c r="I101" s="32" t="n">
        <f aca="false">IFERROR(VLOOKUP($C101,①食材库!$B:$F,5,FALSE()),0)</f>
        <v>2</v>
      </c>
      <c r="J101" s="32" t="n">
        <f aca="false">ROUND($D101/100*F101,0)</f>
        <v>10</v>
      </c>
      <c r="K101" s="32" t="n">
        <f aca="false">ROUND($D101/100*G101,1)</f>
        <v>0.7</v>
      </c>
      <c r="L101" s="32" t="n">
        <f aca="false">ROUND($D101/100*H101,1)</f>
        <v>1</v>
      </c>
      <c r="M101" s="32" t="n">
        <f aca="false">ROUND($D101/100*I101,1)</f>
        <v>0.4</v>
      </c>
    </row>
    <row r="102" customFormat="false" ht="26.25" hidden="false" customHeight="true" outlineLevel="0" collapsed="false">
      <c r="A102" s="11" t="s">
        <v>321</v>
      </c>
      <c r="B102" s="11" t="s">
        <v>296</v>
      </c>
      <c r="C102" s="11" t="s">
        <v>82</v>
      </c>
      <c r="D102" s="14" t="n">
        <v>150</v>
      </c>
      <c r="E102" s="14" t="s">
        <v>324</v>
      </c>
      <c r="F102" s="32" t="n">
        <f aca="false">IFERROR(VLOOKUP($C102,①食材库!$B:$F,2,FALSE()),0)</f>
        <v>59</v>
      </c>
      <c r="G102" s="32" t="n">
        <f aca="false">IFERROR(VLOOKUP($C102,①食材库!$B:$F,3,FALSE()),0)</f>
        <v>10</v>
      </c>
      <c r="H102" s="32" t="n">
        <f aca="false">IFERROR(VLOOKUP($C102,①食材库!$B:$F,4,FALSE()),0)</f>
        <v>3.6</v>
      </c>
      <c r="I102" s="32" t="n">
        <f aca="false">IFERROR(VLOOKUP($C102,①食材库!$B:$F,5,FALSE()),0)</f>
        <v>0</v>
      </c>
      <c r="J102" s="32" t="n">
        <f aca="false">ROUND($D102/100*F102,0)</f>
        <v>89</v>
      </c>
      <c r="K102" s="32" t="n">
        <f aca="false">ROUND($D102/100*G102,1)</f>
        <v>15</v>
      </c>
      <c r="L102" s="32" t="n">
        <f aca="false">ROUND($D102/100*H102,1)</f>
        <v>5.4</v>
      </c>
      <c r="M102" s="32" t="n">
        <f aca="false">ROUND($D102/100*I102,1)</f>
        <v>0</v>
      </c>
    </row>
    <row r="103" customFormat="false" ht="26.25" hidden="false" customHeight="true" outlineLevel="0" collapsed="false">
      <c r="A103" s="11" t="s">
        <v>325</v>
      </c>
      <c r="B103" s="11" t="s">
        <v>296</v>
      </c>
      <c r="C103" s="11" t="s">
        <v>62</v>
      </c>
      <c r="D103" s="14" t="n">
        <v>227</v>
      </c>
      <c r="E103" s="14" t="s">
        <v>326</v>
      </c>
      <c r="F103" s="32" t="n">
        <f aca="false">IFERROR(VLOOKUP($C103,①食材库!$B:$F,2,FALSE()),0)</f>
        <v>208</v>
      </c>
      <c r="G103" s="32" t="n">
        <f aca="false">IFERROR(VLOOKUP($C103,①食材库!$B:$F,3,FALSE()),0)</f>
        <v>20</v>
      </c>
      <c r="H103" s="32" t="n">
        <f aca="false">IFERROR(VLOOKUP($C103,①食材库!$B:$F,4,FALSE()),0)</f>
        <v>0</v>
      </c>
      <c r="I103" s="32" t="n">
        <f aca="false">IFERROR(VLOOKUP($C103,①食材库!$B:$F,5,FALSE()),0)</f>
        <v>13</v>
      </c>
      <c r="J103" s="32" t="n">
        <f aca="false">ROUND($D103/100*F103,0)</f>
        <v>472</v>
      </c>
      <c r="K103" s="32" t="n">
        <f aca="false">ROUND($D103/100*G103,1)</f>
        <v>45.4</v>
      </c>
      <c r="L103" s="32" t="n">
        <f aca="false">ROUND($D103/100*H103,1)</f>
        <v>0</v>
      </c>
      <c r="M103" s="32" t="n">
        <f aca="false">ROUND($D103/100*I103,1)</f>
        <v>29.5</v>
      </c>
    </row>
    <row r="104" customFormat="false" ht="29.25" hidden="false" customHeight="true" outlineLevel="0" collapsed="false">
      <c r="A104" s="11" t="s">
        <v>325</v>
      </c>
      <c r="B104" s="11" t="s">
        <v>296</v>
      </c>
      <c r="C104" s="11" t="s">
        <v>122</v>
      </c>
      <c r="D104" s="14" t="n">
        <v>100</v>
      </c>
      <c r="E104" s="14" t="s">
        <v>327</v>
      </c>
      <c r="F104" s="32" t="n">
        <f aca="false">IFERROR(VLOOKUP($C104,①食材库!$B:$F,2,FALSE()),0)</f>
        <v>360</v>
      </c>
      <c r="G104" s="32" t="n">
        <f aca="false">IFERROR(VLOOKUP($C104,①食材库!$B:$F,3,FALSE()),0)</f>
        <v>13</v>
      </c>
      <c r="H104" s="32" t="n">
        <f aca="false">IFERROR(VLOOKUP($C104,①食材库!$B:$F,4,FALSE()),0)</f>
        <v>72</v>
      </c>
      <c r="I104" s="32" t="n">
        <f aca="false">IFERROR(VLOOKUP($C104,①食材库!$B:$F,5,FALSE()),0)</f>
        <v>1.5</v>
      </c>
      <c r="J104" s="32" t="n">
        <f aca="false">ROUND($D104/100*F104,0)</f>
        <v>360</v>
      </c>
      <c r="K104" s="32" t="n">
        <f aca="false">ROUND($D104/100*G104,1)</f>
        <v>13</v>
      </c>
      <c r="L104" s="32" t="n">
        <f aca="false">ROUND($D104/100*H104,1)</f>
        <v>72</v>
      </c>
      <c r="M104" s="32" t="n">
        <f aca="false">ROUND($D104/100*I104,1)</f>
        <v>1.5</v>
      </c>
    </row>
    <row r="105" customFormat="false" ht="29.25" hidden="false" customHeight="true" outlineLevel="0" collapsed="false">
      <c r="A105" s="11" t="s">
        <v>325</v>
      </c>
      <c r="B105" s="11" t="s">
        <v>296</v>
      </c>
      <c r="C105" s="11" t="s">
        <v>183</v>
      </c>
      <c r="D105" s="14" t="n">
        <v>150</v>
      </c>
      <c r="E105" s="14" t="s">
        <v>328</v>
      </c>
      <c r="F105" s="32" t="n">
        <f aca="false">IFERROR(VLOOKUP($C105,①食材库!$B:$F,2,FALSE()),0)</f>
        <v>22</v>
      </c>
      <c r="G105" s="32" t="n">
        <f aca="false">IFERROR(VLOOKUP($C105,①食材库!$B:$F,3,FALSE()),0)</f>
        <v>2</v>
      </c>
      <c r="H105" s="32" t="n">
        <f aca="false">IFERROR(VLOOKUP($C105,①食材库!$B:$F,4,FALSE()),0)</f>
        <v>4</v>
      </c>
      <c r="I105" s="32" t="n">
        <f aca="false">IFERROR(VLOOKUP($C105,①食材库!$B:$F,5,FALSE()),0)</f>
        <v>0.3</v>
      </c>
      <c r="J105" s="32" t="n">
        <f aca="false">ROUND($D105/100*F105,0)</f>
        <v>33</v>
      </c>
      <c r="K105" s="32" t="n">
        <f aca="false">ROUND($D105/100*G105,1)</f>
        <v>3</v>
      </c>
      <c r="L105" s="32" t="n">
        <f aca="false">ROUND($D105/100*H105,1)</f>
        <v>6</v>
      </c>
      <c r="M105" s="32" t="n">
        <f aca="false">ROUND($D105/100*I105,1)</f>
        <v>0.5</v>
      </c>
    </row>
    <row r="106" customFormat="false" ht="29.25" hidden="false" customHeight="true" outlineLevel="0" collapsed="false">
      <c r="A106" s="11" t="s">
        <v>325</v>
      </c>
      <c r="B106" s="11" t="s">
        <v>296</v>
      </c>
      <c r="C106" s="11" t="s">
        <v>170</v>
      </c>
      <c r="D106" s="14" t="n">
        <v>100</v>
      </c>
      <c r="E106" s="14" t="s">
        <v>329</v>
      </c>
      <c r="F106" s="32" t="n">
        <f aca="false">IFERROR(VLOOKUP($C106,①食材库!$B:$F,2,FALSE()),0)</f>
        <v>30</v>
      </c>
      <c r="G106" s="32" t="n">
        <f aca="false">IFERROR(VLOOKUP($C106,①食材库!$B:$F,3,FALSE()),0)</f>
        <v>2.5</v>
      </c>
      <c r="H106" s="32" t="n">
        <f aca="false">IFERROR(VLOOKUP($C106,①食材库!$B:$F,4,FALSE()),0)</f>
        <v>5</v>
      </c>
      <c r="I106" s="32" t="n">
        <f aca="false">IFERROR(VLOOKUP($C106,①食材库!$B:$F,5,FALSE()),0)</f>
        <v>0.3</v>
      </c>
      <c r="J106" s="32" t="n">
        <f aca="false">ROUND($D106/100*F106,0)</f>
        <v>30</v>
      </c>
      <c r="K106" s="32" t="n">
        <f aca="false">ROUND($D106/100*G106,1)</f>
        <v>2.5</v>
      </c>
      <c r="L106" s="32" t="n">
        <f aca="false">ROUND($D106/100*H106,1)</f>
        <v>5</v>
      </c>
      <c r="M106" s="32" t="n">
        <f aca="false">ROUND($D106/100*I106,1)</f>
        <v>0.3</v>
      </c>
    </row>
    <row r="107" customFormat="false" ht="15" hidden="false" customHeight="true" outlineLevel="0" collapsed="false">
      <c r="A107" s="11" t="s">
        <v>330</v>
      </c>
      <c r="B107" s="11" t="s">
        <v>287</v>
      </c>
      <c r="C107" s="11" t="s">
        <v>111</v>
      </c>
      <c r="D107" s="14" t="n">
        <v>50</v>
      </c>
      <c r="E107" s="19" t="s">
        <v>331</v>
      </c>
      <c r="F107" s="32" t="n">
        <f aca="false">IFERROR(VLOOKUP($C107,①食材库!$B:$F,2,FALSE()),0)</f>
        <v>380</v>
      </c>
      <c r="G107" s="32" t="n">
        <f aca="false">IFERROR(VLOOKUP($C107,①食材库!$B:$F,3,FALSE()),0)</f>
        <v>13</v>
      </c>
      <c r="H107" s="32" t="n">
        <f aca="false">IFERROR(VLOOKUP($C107,①食材库!$B:$F,4,FALSE()),0)</f>
        <v>67</v>
      </c>
      <c r="I107" s="32" t="n">
        <f aca="false">IFERROR(VLOOKUP($C107,①食材库!$B:$F,5,FALSE()),0)</f>
        <v>7</v>
      </c>
      <c r="J107" s="32" t="n">
        <f aca="false">ROUND($D107/100*F107,0)</f>
        <v>190</v>
      </c>
      <c r="K107" s="32" t="n">
        <f aca="false">ROUND($D107/100*G107,1)</f>
        <v>6.5</v>
      </c>
      <c r="L107" s="32" t="n">
        <f aca="false">ROUND($D107/100*H107,1)</f>
        <v>33.5</v>
      </c>
      <c r="M107" s="32" t="n">
        <f aca="false">ROUND($D107/100*I107,1)</f>
        <v>3.5</v>
      </c>
    </row>
    <row r="108" customFormat="false" ht="15" hidden="false" customHeight="true" outlineLevel="0" collapsed="false">
      <c r="A108" s="11" t="s">
        <v>330</v>
      </c>
      <c r="B108" s="11" t="s">
        <v>287</v>
      </c>
      <c r="C108" s="11" t="s">
        <v>89</v>
      </c>
      <c r="D108" s="14" t="n">
        <v>150</v>
      </c>
      <c r="E108" s="19" t="s">
        <v>332</v>
      </c>
      <c r="F108" s="32" t="n">
        <f aca="false">IFERROR(VLOOKUP($C108,①食材库!$B:$F,2,FALSE()),0)</f>
        <v>50</v>
      </c>
      <c r="G108" s="32" t="n">
        <f aca="false">IFERROR(VLOOKUP($C108,①食材库!$B:$F,3,FALSE()),0)</f>
        <v>3.4</v>
      </c>
      <c r="H108" s="32" t="n">
        <f aca="false">IFERROR(VLOOKUP($C108,①食材库!$B:$F,4,FALSE()),0)</f>
        <v>4.8</v>
      </c>
      <c r="I108" s="32" t="n">
        <f aca="false">IFERROR(VLOOKUP($C108,①食材库!$B:$F,5,FALSE()),0)</f>
        <v>2</v>
      </c>
      <c r="J108" s="32" t="n">
        <f aca="false">ROUND($D108/100*F108,0)</f>
        <v>75</v>
      </c>
      <c r="K108" s="32" t="n">
        <f aca="false">ROUND($D108/100*G108,1)</f>
        <v>5.1</v>
      </c>
      <c r="L108" s="32" t="n">
        <f aca="false">ROUND($D108/100*H108,1)</f>
        <v>7.2</v>
      </c>
      <c r="M108" s="32" t="n">
        <f aca="false">ROUND($D108/100*I108,1)</f>
        <v>3</v>
      </c>
    </row>
    <row r="109" customFormat="false" ht="29.25" hidden="false" customHeight="true" outlineLevel="0" collapsed="false">
      <c r="A109" s="11" t="s">
        <v>333</v>
      </c>
      <c r="B109" s="11" t="s">
        <v>296</v>
      </c>
      <c r="C109" s="11" t="s">
        <v>122</v>
      </c>
      <c r="D109" s="14" t="n">
        <v>90</v>
      </c>
      <c r="E109" s="14" t="s">
        <v>334</v>
      </c>
      <c r="F109" s="32" t="n">
        <f aca="false">IFERROR(VLOOKUP($C109,①食材库!$B:$F,2,FALSE()),0)</f>
        <v>360</v>
      </c>
      <c r="G109" s="32" t="n">
        <f aca="false">IFERROR(VLOOKUP($C109,①食材库!$B:$F,3,FALSE()),0)</f>
        <v>13</v>
      </c>
      <c r="H109" s="32" t="n">
        <f aca="false">IFERROR(VLOOKUP($C109,①食材库!$B:$F,4,FALSE()),0)</f>
        <v>72</v>
      </c>
      <c r="I109" s="32" t="n">
        <f aca="false">IFERROR(VLOOKUP($C109,①食材库!$B:$F,5,FALSE()),0)</f>
        <v>1.5</v>
      </c>
      <c r="J109" s="32" t="n">
        <f aca="false">ROUND($D109/100*F109,0)</f>
        <v>324</v>
      </c>
      <c r="K109" s="32" t="n">
        <f aca="false">ROUND($D109/100*G109,1)</f>
        <v>11.7</v>
      </c>
      <c r="L109" s="32" t="n">
        <f aca="false">ROUND($D109/100*H109,1)</f>
        <v>64.8</v>
      </c>
      <c r="M109" s="32" t="n">
        <f aca="false">ROUND($D109/100*I109,1)</f>
        <v>1.4</v>
      </c>
    </row>
    <row r="110" customFormat="false" ht="29.25" hidden="false" customHeight="true" outlineLevel="0" collapsed="false">
      <c r="A110" s="11" t="s">
        <v>333</v>
      </c>
      <c r="B110" s="11" t="s">
        <v>296</v>
      </c>
      <c r="C110" s="11" t="s">
        <v>68</v>
      </c>
      <c r="D110" s="14" t="n">
        <v>71</v>
      </c>
      <c r="E110" s="14" t="s">
        <v>316</v>
      </c>
      <c r="F110" s="32" t="n">
        <f aca="false">IFERROR(VLOOKUP($C110,①食材库!$B:$F,2,FALSE()),0)</f>
        <v>127</v>
      </c>
      <c r="G110" s="32" t="n">
        <f aca="false">IFERROR(VLOOKUP($C110,①食材库!$B:$F,3,FALSE()),0)</f>
        <v>23.2</v>
      </c>
      <c r="H110" s="32" t="n">
        <f aca="false">IFERROR(VLOOKUP($C110,①食材库!$B:$F,4,FALSE()),0)</f>
        <v>0</v>
      </c>
      <c r="I110" s="32" t="n">
        <f aca="false">IFERROR(VLOOKUP($C110,①食材库!$B:$F,5,FALSE()),0)</f>
        <v>3.5</v>
      </c>
      <c r="J110" s="32" t="n">
        <f aca="false">ROUND($D110/100*F110,0)</f>
        <v>90</v>
      </c>
      <c r="K110" s="32" t="n">
        <f aca="false">ROUND($D110/100*G110,1)</f>
        <v>16.5</v>
      </c>
      <c r="L110" s="32" t="n">
        <f aca="false">ROUND($D110/100*H110,1)</f>
        <v>0</v>
      </c>
      <c r="M110" s="32" t="n">
        <f aca="false">ROUND($D110/100*I110,1)</f>
        <v>2.5</v>
      </c>
    </row>
    <row r="111" customFormat="false" ht="29.25" hidden="false" customHeight="true" outlineLevel="0" collapsed="false">
      <c r="A111" s="11" t="s">
        <v>333</v>
      </c>
      <c r="B111" s="11" t="s">
        <v>296</v>
      </c>
      <c r="C111" s="11" t="s">
        <v>210</v>
      </c>
      <c r="D111" s="14" t="n">
        <v>18</v>
      </c>
      <c r="E111" s="14"/>
      <c r="F111" s="32" t="n">
        <f aca="false">IFERROR(VLOOKUP($C111,①食材库!$B:$F,2,FALSE()),0)</f>
        <v>330</v>
      </c>
      <c r="G111" s="32" t="n">
        <f aca="false">IFERROR(VLOOKUP($C111,①食材库!$B:$F,3,FALSE()),0)</f>
        <v>0.6</v>
      </c>
      <c r="H111" s="32" t="n">
        <f aca="false">IFERROR(VLOOKUP($C111,①食材库!$B:$F,4,FALSE()),0)</f>
        <v>9</v>
      </c>
      <c r="I111" s="32" t="n">
        <f aca="false">IFERROR(VLOOKUP($C111,①食材库!$B:$F,5,FALSE()),0)</f>
        <v>33</v>
      </c>
      <c r="J111" s="32" t="n">
        <f aca="false">ROUND($D111/100*F111,0)</f>
        <v>59</v>
      </c>
      <c r="K111" s="32" t="n">
        <f aca="false">ROUND($D111/100*G111,1)</f>
        <v>0.1</v>
      </c>
      <c r="L111" s="32" t="n">
        <f aca="false">ROUND($D111/100*H111,1)</f>
        <v>1.6</v>
      </c>
      <c r="M111" s="32" t="n">
        <f aca="false">ROUND($D111/100*I111,1)</f>
        <v>5.9</v>
      </c>
    </row>
    <row r="112" customFormat="false" ht="29.25" hidden="false" customHeight="true" outlineLevel="0" collapsed="false">
      <c r="A112" s="11" t="s">
        <v>333</v>
      </c>
      <c r="B112" s="11" t="s">
        <v>296</v>
      </c>
      <c r="C112" s="11" t="s">
        <v>197</v>
      </c>
      <c r="D112" s="14" t="n">
        <v>7</v>
      </c>
      <c r="E112" s="14"/>
      <c r="F112" s="32" t="n">
        <f aca="false">IFERROR(VLOOKUP($C112,①食材库!$B:$F,2,FALSE()),0)</f>
        <v>60</v>
      </c>
      <c r="G112" s="32" t="n">
        <f aca="false">IFERROR(VLOOKUP($C112,①食材库!$B:$F,3,FALSE()),0)</f>
        <v>4</v>
      </c>
      <c r="H112" s="32" t="n">
        <f aca="false">IFERROR(VLOOKUP($C112,①食材库!$B:$F,4,FALSE()),0)</f>
        <v>5</v>
      </c>
      <c r="I112" s="32" t="n">
        <f aca="false">IFERROR(VLOOKUP($C112,①食材库!$B:$F,5,FALSE()),0)</f>
        <v>3</v>
      </c>
      <c r="J112" s="32" t="n">
        <f aca="false">ROUND($D112/100*F112,0)</f>
        <v>4</v>
      </c>
      <c r="K112" s="32" t="n">
        <f aca="false">ROUND($D112/100*G112,1)</f>
        <v>0.3</v>
      </c>
      <c r="L112" s="32" t="n">
        <f aca="false">ROUND($D112/100*H112,1)</f>
        <v>0.4</v>
      </c>
      <c r="M112" s="32" t="n">
        <f aca="false">ROUND($D112/100*I112,1)</f>
        <v>0.2</v>
      </c>
    </row>
    <row r="113" customFormat="false" ht="29.25" hidden="false" customHeight="true" outlineLevel="0" collapsed="false">
      <c r="A113" s="11" t="s">
        <v>333</v>
      </c>
      <c r="B113" s="11" t="s">
        <v>296</v>
      </c>
      <c r="C113" s="11" t="s">
        <v>154</v>
      </c>
      <c r="D113" s="14" t="n">
        <v>60</v>
      </c>
      <c r="E113" s="14"/>
      <c r="F113" s="32" t="n">
        <f aca="false">IFERROR(VLOOKUP($C113,①食材库!$B:$F,2,FALSE()),0)</f>
        <v>15</v>
      </c>
      <c r="G113" s="32" t="n">
        <f aca="false">IFERROR(VLOOKUP($C113,①食材库!$B:$F,3,FALSE()),0)</f>
        <v>0.7</v>
      </c>
      <c r="H113" s="32" t="n">
        <f aca="false">IFERROR(VLOOKUP($C113,①食材库!$B:$F,4,FALSE()),0)</f>
        <v>3.6</v>
      </c>
      <c r="I113" s="32" t="n">
        <f aca="false">IFERROR(VLOOKUP($C113,①食材库!$B:$F,5,FALSE()),0)</f>
        <v>0.1</v>
      </c>
      <c r="J113" s="32" t="n">
        <f aca="false">ROUND($D113/100*F113,0)</f>
        <v>9</v>
      </c>
      <c r="K113" s="32" t="n">
        <f aca="false">ROUND($D113/100*G113,1)</f>
        <v>0.4</v>
      </c>
      <c r="L113" s="32" t="n">
        <f aca="false">ROUND($D113/100*H113,1)</f>
        <v>2.2</v>
      </c>
      <c r="M113" s="32" t="n">
        <f aca="false">ROUND($D113/100*I113,1)</f>
        <v>0.1</v>
      </c>
    </row>
    <row r="114" customFormat="false" ht="29.25" hidden="false" customHeight="true" outlineLevel="0" collapsed="false">
      <c r="A114" s="11" t="s">
        <v>333</v>
      </c>
      <c r="B114" s="11" t="s">
        <v>296</v>
      </c>
      <c r="C114" s="11" t="s">
        <v>157</v>
      </c>
      <c r="D114" s="14" t="n">
        <v>150</v>
      </c>
      <c r="E114" s="14"/>
      <c r="F114" s="32" t="n">
        <f aca="false">IFERROR(VLOOKUP($C114,①食材库!$B:$F,2,FALSE()),0)</f>
        <v>18</v>
      </c>
      <c r="G114" s="32" t="n">
        <f aca="false">IFERROR(VLOOKUP($C114,①食材库!$B:$F,3,FALSE()),0)</f>
        <v>0.9</v>
      </c>
      <c r="H114" s="32" t="n">
        <f aca="false">IFERROR(VLOOKUP($C114,①食材库!$B:$F,4,FALSE()),0)</f>
        <v>3.9</v>
      </c>
      <c r="I114" s="32" t="n">
        <f aca="false">IFERROR(VLOOKUP($C114,①食材库!$B:$F,5,FALSE()),0)</f>
        <v>0.2</v>
      </c>
      <c r="J114" s="32" t="n">
        <f aca="false">ROUND($D114/100*F114,0)</f>
        <v>27</v>
      </c>
      <c r="K114" s="32" t="n">
        <f aca="false">ROUND($D114/100*G114,1)</f>
        <v>1.4</v>
      </c>
      <c r="L114" s="32" t="n">
        <f aca="false">ROUND($D114/100*H114,1)</f>
        <v>5.9</v>
      </c>
      <c r="M114" s="32" t="n">
        <f aca="false">ROUND($D114/100*I114,1)</f>
        <v>0.3</v>
      </c>
    </row>
    <row r="115" customFormat="false" ht="29.25" hidden="false" customHeight="true" outlineLevel="0" collapsed="false">
      <c r="A115" s="11" t="s">
        <v>333</v>
      </c>
      <c r="B115" s="11" t="s">
        <v>296</v>
      </c>
      <c r="C115" s="11" t="s">
        <v>155</v>
      </c>
      <c r="D115" s="14" t="n">
        <v>225</v>
      </c>
      <c r="E115" s="19" t="s">
        <v>335</v>
      </c>
      <c r="F115" s="32" t="n">
        <f aca="false">IFERROR(VLOOKUP($C115,①食材库!$B:$F,2,FALSE()),0)</f>
        <v>31</v>
      </c>
      <c r="G115" s="32" t="n">
        <f aca="false">IFERROR(VLOOKUP($C115,①食材库!$B:$F,3,FALSE()),0)</f>
        <v>1</v>
      </c>
      <c r="H115" s="32" t="n">
        <f aca="false">IFERROR(VLOOKUP($C115,①食材库!$B:$F,4,FALSE()),0)</f>
        <v>6</v>
      </c>
      <c r="I115" s="32" t="n">
        <f aca="false">IFERROR(VLOOKUP($C115,①食材库!$B:$F,5,FALSE()),0)</f>
        <v>0.3</v>
      </c>
      <c r="J115" s="32" t="n">
        <f aca="false">ROUND($D115/100*F115,0)</f>
        <v>70</v>
      </c>
      <c r="K115" s="32" t="n">
        <f aca="false">ROUND($D115/100*G115,1)</f>
        <v>2.3</v>
      </c>
      <c r="L115" s="32" t="n">
        <f aca="false">ROUND($D115/100*H115,1)</f>
        <v>13.5</v>
      </c>
      <c r="M115" s="32" t="n">
        <f aca="false">ROUND($D115/100*I115,1)</f>
        <v>0.7</v>
      </c>
    </row>
    <row r="116" customFormat="false" ht="29.25" hidden="false" customHeight="true" outlineLevel="0" collapsed="false">
      <c r="A116" s="11" t="s">
        <v>333</v>
      </c>
      <c r="B116" s="11" t="s">
        <v>296</v>
      </c>
      <c r="C116" s="11" t="s">
        <v>72</v>
      </c>
      <c r="D116" s="14" t="n">
        <v>50</v>
      </c>
      <c r="E116" s="19" t="s">
        <v>336</v>
      </c>
      <c r="F116" s="32" t="n">
        <f aca="false">IFERROR(VLOOKUP($C116,①食材库!$B:$F,2,FALSE()),0)</f>
        <v>144</v>
      </c>
      <c r="G116" s="32" t="n">
        <f aca="false">IFERROR(VLOOKUP($C116,①食材库!$B:$F,3,FALSE()),0)</f>
        <v>12.6</v>
      </c>
      <c r="H116" s="32" t="n">
        <f aca="false">IFERROR(VLOOKUP($C116,①食材库!$B:$F,4,FALSE()),0)</f>
        <v>0.8</v>
      </c>
      <c r="I116" s="32" t="n">
        <f aca="false">IFERROR(VLOOKUP($C116,①食材库!$B:$F,5,FALSE()),0)</f>
        <v>9.6</v>
      </c>
      <c r="J116" s="32" t="n">
        <f aca="false">ROUND($D116/100*F116,0)</f>
        <v>72</v>
      </c>
      <c r="K116" s="32" t="n">
        <f aca="false">ROUND($D116/100*G116,1)</f>
        <v>6.3</v>
      </c>
      <c r="L116" s="32" t="n">
        <f aca="false">ROUND($D116/100*H116,1)</f>
        <v>0.4</v>
      </c>
      <c r="M116" s="32" t="n">
        <f aca="false">ROUND($D116/100*I116,1)</f>
        <v>4.8</v>
      </c>
    </row>
    <row r="117" customFormat="false" ht="29.25" hidden="false" customHeight="true" outlineLevel="0" collapsed="false">
      <c r="A117" s="11" t="s">
        <v>337</v>
      </c>
      <c r="B117" s="16" t="s">
        <v>307</v>
      </c>
      <c r="C117" s="11" t="s">
        <v>212</v>
      </c>
      <c r="D117" s="14" t="n">
        <v>60</v>
      </c>
      <c r="E117" s="14" t="s">
        <v>338</v>
      </c>
      <c r="F117" s="32" t="n">
        <f aca="false">IFERROR(VLOOKUP($C117,①食材库!$B:$F,2,FALSE()),0)</f>
        <v>335</v>
      </c>
      <c r="G117" s="32" t="n">
        <f aca="false">IFERROR(VLOOKUP($C117,①食材库!$B:$F,3,FALSE()),0)</f>
        <v>3.5</v>
      </c>
      <c r="H117" s="32" t="n">
        <f aca="false">IFERROR(VLOOKUP($C117,①食材库!$B:$F,4,FALSE()),0)</f>
        <v>45</v>
      </c>
      <c r="I117" s="32" t="n">
        <f aca="false">IFERROR(VLOOKUP($C117,①食材库!$B:$F,5,FALSE()),0)</f>
        <v>16</v>
      </c>
      <c r="J117" s="32" t="n">
        <f aca="false">ROUND($D117/100*F117,0)</f>
        <v>201</v>
      </c>
      <c r="K117" s="32" t="n">
        <f aca="false">ROUND($D117/100*G117,1)</f>
        <v>2.1</v>
      </c>
      <c r="L117" s="32" t="n">
        <f aca="false">ROUND($D117/100*H117,1)</f>
        <v>27</v>
      </c>
      <c r="M117" s="32" t="n">
        <f aca="false">ROUND($D117/100*I117,1)</f>
        <v>9.6</v>
      </c>
    </row>
    <row r="118" customFormat="false" ht="29.85" hidden="false" customHeight="false" outlineLevel="0" collapsed="false">
      <c r="A118" s="21" t="s">
        <v>339</v>
      </c>
      <c r="B118" s="21" t="s">
        <v>257</v>
      </c>
      <c r="C118" s="21" t="s">
        <v>340</v>
      </c>
      <c r="D118" s="22" t="n">
        <v>450</v>
      </c>
      <c r="E118" s="22" t="s">
        <v>341</v>
      </c>
      <c r="F118" s="32" t="n">
        <f aca="false">IFERROR(VLOOKUP($C118,①食材库!$B:$F,2,FALSE()),0)</f>
        <v>250</v>
      </c>
      <c r="G118" s="32" t="n">
        <f aca="false">IFERROR(VLOOKUP($C118,①食材库!$B:$F,3,FALSE()),0)</f>
        <v>18</v>
      </c>
      <c r="H118" s="32" t="n">
        <f aca="false">IFERROR(VLOOKUP($C118,①食材库!$B:$F,4,FALSE()),0)</f>
        <v>0</v>
      </c>
      <c r="I118" s="32" t="n">
        <f aca="false">IFERROR(VLOOKUP($C118,①食材库!$B:$F,5,FALSE()),0)</f>
        <v>20</v>
      </c>
      <c r="J118" s="32" t="n">
        <f aca="false">ROUND($D118/100*F118,0)</f>
        <v>1125</v>
      </c>
      <c r="K118" s="32" t="n">
        <f aca="false">ROUND($D118/100*G118,1)</f>
        <v>81</v>
      </c>
      <c r="L118" s="32" t="n">
        <f aca="false">ROUND($D118/100*H118,1)</f>
        <v>0</v>
      </c>
      <c r="M118" s="32" t="n">
        <f aca="false">ROUND($D118/100*I118,1)</f>
        <v>90</v>
      </c>
    </row>
    <row r="119" customFormat="false" ht="15" hidden="false" customHeight="false" outlineLevel="0" collapsed="false">
      <c r="A119" s="21" t="s">
        <v>339</v>
      </c>
      <c r="B119" s="21" t="s">
        <v>257</v>
      </c>
      <c r="C119" s="21" t="s">
        <v>167</v>
      </c>
      <c r="D119" s="22" t="n">
        <v>80</v>
      </c>
      <c r="E119" s="22" t="s">
        <v>260</v>
      </c>
      <c r="F119" s="32" t="n">
        <f aca="false">IFERROR(VLOOKUP($C119,①食材库!$B:$F,2,FALSE()),0)</f>
        <v>40</v>
      </c>
      <c r="G119" s="32" t="n">
        <f aca="false">IFERROR(VLOOKUP($C119,①食材库!$B:$F,3,FALSE()),0)</f>
        <v>1.1</v>
      </c>
      <c r="H119" s="32" t="n">
        <f aca="false">IFERROR(VLOOKUP($C119,①食材库!$B:$F,4,FALSE()),0)</f>
        <v>9</v>
      </c>
      <c r="I119" s="32" t="n">
        <f aca="false">IFERROR(VLOOKUP($C119,①食材库!$B:$F,5,FALSE()),0)</f>
        <v>0.1</v>
      </c>
      <c r="J119" s="32" t="n">
        <f aca="false">ROUND($D119/100*F119,0)</f>
        <v>32</v>
      </c>
      <c r="K119" s="32" t="n">
        <f aca="false">ROUND($D119/100*G119,1)</f>
        <v>0.9</v>
      </c>
      <c r="L119" s="32" t="n">
        <f aca="false">ROUND($D119/100*H119,1)</f>
        <v>7.2</v>
      </c>
      <c r="M119" s="32" t="n">
        <f aca="false">ROUND($D119/100*I119,1)</f>
        <v>0.1</v>
      </c>
    </row>
    <row r="120" customFormat="false" ht="15" hidden="false" customHeight="false" outlineLevel="0" collapsed="false">
      <c r="A120" s="21" t="s">
        <v>339</v>
      </c>
      <c r="B120" s="21" t="s">
        <v>257</v>
      </c>
      <c r="C120" s="21" t="s">
        <v>217</v>
      </c>
      <c r="D120" s="22" t="n">
        <v>60</v>
      </c>
      <c r="E120" s="19" t="s">
        <v>342</v>
      </c>
      <c r="F120" s="32" t="n">
        <f aca="false">IFERROR(VLOOKUP($C120,①食材库!$B:$F,2,FALSE()),0)</f>
        <v>180</v>
      </c>
      <c r="G120" s="32" t="n">
        <f aca="false">IFERROR(VLOOKUP($C120,①食材库!$B:$F,3,FALSE()),0)</f>
        <v>5</v>
      </c>
      <c r="H120" s="32" t="n">
        <f aca="false">IFERROR(VLOOKUP($C120,①食材库!$B:$F,4,FALSE()),0)</f>
        <v>40</v>
      </c>
      <c r="I120" s="32" t="n">
        <f aca="false">IFERROR(VLOOKUP($C120,①食材库!$B:$F,5,FALSE()),0)</f>
        <v>2</v>
      </c>
      <c r="J120" s="32" t="n">
        <f aca="false">ROUND($D120/100*F120,0)</f>
        <v>108</v>
      </c>
      <c r="K120" s="32" t="n">
        <f aca="false">ROUND($D120/100*G120,1)</f>
        <v>3</v>
      </c>
      <c r="L120" s="32" t="n">
        <f aca="false">ROUND($D120/100*H120,1)</f>
        <v>24</v>
      </c>
      <c r="M120" s="32" t="n">
        <f aca="false">ROUND($D120/100*I120,1)</f>
        <v>1.2</v>
      </c>
    </row>
    <row r="121" customFormat="false" ht="15" hidden="false" customHeight="false" outlineLevel="0" collapsed="false">
      <c r="A121" s="21" t="s">
        <v>339</v>
      </c>
      <c r="B121" s="21" t="s">
        <v>257</v>
      </c>
      <c r="C121" s="21" t="s">
        <v>219</v>
      </c>
      <c r="D121" s="22" t="n">
        <v>15</v>
      </c>
      <c r="E121" s="19" t="s">
        <v>343</v>
      </c>
      <c r="F121" s="32" t="n">
        <f aca="false">IFERROR(VLOOKUP($C121,①食材库!$B:$F,2,FALSE()),0)</f>
        <v>282</v>
      </c>
      <c r="G121" s="32" t="n">
        <f aca="false">IFERROR(VLOOKUP($C121,①食材库!$B:$F,3,FALSE()),0)</f>
        <v>13</v>
      </c>
      <c r="H121" s="32" t="n">
        <f aca="false">IFERROR(VLOOKUP($C121,①食材库!$B:$F,4,FALSE()),0)</f>
        <v>57</v>
      </c>
      <c r="I121" s="32" t="n">
        <f aca="false">IFERROR(VLOOKUP($C121,①食材库!$B:$F,5,FALSE()),0)</f>
        <v>14</v>
      </c>
      <c r="J121" s="32" t="n">
        <f aca="false">ROUND($D121/100*F121,0)</f>
        <v>42</v>
      </c>
      <c r="K121" s="32" t="n">
        <f aca="false">ROUND($D121/100*G121,1)</f>
        <v>2</v>
      </c>
      <c r="L121" s="32" t="n">
        <f aca="false">ROUND($D121/100*H121,1)</f>
        <v>8.6</v>
      </c>
      <c r="M121" s="32" t="n">
        <f aca="false">ROUND($D121/100*I121,1)</f>
        <v>2.1</v>
      </c>
    </row>
    <row r="122" customFormat="false" ht="15" hidden="false" customHeight="false" outlineLevel="0" collapsed="false">
      <c r="A122" s="21" t="s">
        <v>339</v>
      </c>
      <c r="B122" s="21" t="s">
        <v>257</v>
      </c>
      <c r="C122" s="21" t="s">
        <v>222</v>
      </c>
      <c r="D122" s="22" t="n">
        <v>15</v>
      </c>
      <c r="E122" s="19" t="s">
        <v>344</v>
      </c>
      <c r="F122" s="32" t="n">
        <f aca="false">IFERROR(VLOOKUP($C122,①食材库!$B:$F,2,FALSE()),0)</f>
        <v>130</v>
      </c>
      <c r="G122" s="32" t="n">
        <f aca="false">IFERROR(VLOOKUP($C122,①食材库!$B:$F,3,FALSE()),0)</f>
        <v>0.4</v>
      </c>
      <c r="H122" s="32" t="n">
        <f aca="false">IFERROR(VLOOKUP($C122,①食材库!$B:$F,4,FALSE()),0)</f>
        <v>5</v>
      </c>
      <c r="I122" s="32" t="n">
        <f aca="false">IFERROR(VLOOKUP($C122,①食材库!$B:$F,5,FALSE()),0)</f>
        <v>0</v>
      </c>
      <c r="J122" s="32" t="n">
        <f aca="false">ROUND($D122/100*F122,0)</f>
        <v>20</v>
      </c>
      <c r="K122" s="32" t="n">
        <f aca="false">ROUND($D122/100*G122,1)</f>
        <v>0.1</v>
      </c>
      <c r="L122" s="32" t="n">
        <f aca="false">ROUND($D122/100*H122,1)</f>
        <v>0.8</v>
      </c>
      <c r="M122" s="32" t="n">
        <f aca="false">ROUND($D122/100*I122,1)</f>
        <v>0</v>
      </c>
    </row>
    <row r="123" customFormat="false" ht="15" hidden="false" customHeight="false" outlineLevel="0" collapsed="false">
      <c r="A123" s="21" t="s">
        <v>339</v>
      </c>
      <c r="B123" s="21" t="s">
        <v>257</v>
      </c>
      <c r="C123" s="21" t="s">
        <v>224</v>
      </c>
      <c r="D123" s="22" t="n">
        <v>30</v>
      </c>
      <c r="E123" s="22" t="s">
        <v>345</v>
      </c>
      <c r="F123" s="32" t="n">
        <f aca="false">IFERROR(VLOOKUP($C123,①食材库!$B:$F,2,FALSE()),0)</f>
        <v>304</v>
      </c>
      <c r="G123" s="32" t="n">
        <f aca="false">IFERROR(VLOOKUP($C123,①食材库!$B:$F,3,FALSE()),0)</f>
        <v>0.3</v>
      </c>
      <c r="H123" s="32" t="n">
        <f aca="false">IFERROR(VLOOKUP($C123,①食材库!$B:$F,4,FALSE()),0)</f>
        <v>82</v>
      </c>
      <c r="I123" s="32" t="n">
        <f aca="false">IFERROR(VLOOKUP($C123,①食材库!$B:$F,5,FALSE()),0)</f>
        <v>0</v>
      </c>
      <c r="J123" s="32" t="n">
        <f aca="false">ROUND($D123/100*F123,0)</f>
        <v>91</v>
      </c>
      <c r="K123" s="32" t="n">
        <f aca="false">ROUND($D123/100*G123,1)</f>
        <v>0.1</v>
      </c>
      <c r="L123" s="32" t="n">
        <f aca="false">ROUND($D123/100*H123,1)</f>
        <v>24.6</v>
      </c>
      <c r="M123" s="32" t="n">
        <f aca="false">ROUND($D123/100*I123,1)</f>
        <v>0</v>
      </c>
    </row>
    <row r="124" customFormat="false" ht="15" hidden="false" customHeight="false" outlineLevel="0" collapsed="false">
      <c r="A124" s="21" t="s">
        <v>339</v>
      </c>
      <c r="B124" s="21" t="s">
        <v>257</v>
      </c>
      <c r="C124" s="21" t="s">
        <v>135</v>
      </c>
      <c r="D124" s="22" t="n">
        <v>15</v>
      </c>
      <c r="E124" s="22" t="s">
        <v>346</v>
      </c>
      <c r="F124" s="32" t="n">
        <f aca="false">IFERROR(VLOOKUP($C124,①食材库!$B:$F,2,FALSE()),0)</f>
        <v>884</v>
      </c>
      <c r="G124" s="32" t="n">
        <f aca="false">IFERROR(VLOOKUP($C124,①食材库!$B:$F,3,FALSE()),0)</f>
        <v>0</v>
      </c>
      <c r="H124" s="32" t="n">
        <f aca="false">IFERROR(VLOOKUP($C124,①食材库!$B:$F,4,FALSE()),0)</f>
        <v>0</v>
      </c>
      <c r="I124" s="32" t="n">
        <f aca="false">IFERROR(VLOOKUP($C124,①食材库!$B:$F,5,FALSE()),0)</f>
        <v>100</v>
      </c>
      <c r="J124" s="32" t="n">
        <f aca="false">ROUND($D124/100*F124,0)</f>
        <v>133</v>
      </c>
      <c r="K124" s="32" t="n">
        <f aca="false">ROUND($D124/100*G124,1)</f>
        <v>0</v>
      </c>
      <c r="L124" s="32" t="n">
        <f aca="false">ROUND($D124/100*H124,1)</f>
        <v>0</v>
      </c>
      <c r="M124" s="32" t="n">
        <f aca="false">ROUND($D124/100*I124,1)</f>
        <v>15</v>
      </c>
    </row>
    <row r="125" customFormat="false" ht="15" hidden="false" customHeight="false" outlineLevel="0" collapsed="false">
      <c r="A125" s="21" t="s">
        <v>339</v>
      </c>
      <c r="B125" s="21" t="s">
        <v>257</v>
      </c>
      <c r="C125" s="21" t="s">
        <v>226</v>
      </c>
      <c r="D125" s="22" t="n">
        <v>15</v>
      </c>
      <c r="E125" s="19" t="s">
        <v>344</v>
      </c>
      <c r="F125" s="32" t="n">
        <f aca="false">IFERROR(VLOOKUP($C125,①食材库!$B:$F,2,FALSE()),0)</f>
        <v>884</v>
      </c>
      <c r="G125" s="32" t="n">
        <f aca="false">IFERROR(VLOOKUP($C125,①食材库!$B:$F,3,FALSE()),0)</f>
        <v>0</v>
      </c>
      <c r="H125" s="32" t="n">
        <f aca="false">IFERROR(VLOOKUP($C125,①食材库!$B:$F,4,FALSE()),0)</f>
        <v>0</v>
      </c>
      <c r="I125" s="32" t="n">
        <f aca="false">IFERROR(VLOOKUP($C125,①食材库!$B:$F,5,FALSE()),0)</f>
        <v>100</v>
      </c>
      <c r="J125" s="32" t="n">
        <f aca="false">ROUND($D125/100*F125,0)</f>
        <v>133</v>
      </c>
      <c r="K125" s="32" t="n">
        <f aca="false">ROUND($D125/100*G125,1)</f>
        <v>0</v>
      </c>
      <c r="L125" s="32" t="n">
        <f aca="false">ROUND($D125/100*H125,1)</f>
        <v>0</v>
      </c>
      <c r="M125" s="32" t="n">
        <f aca="false">ROUND($D125/100*I125,1)</f>
        <v>15</v>
      </c>
    </row>
    <row r="126" customFormat="false" ht="15" hidden="false" customHeight="false" outlineLevel="0" collapsed="false">
      <c r="A126" s="21" t="s">
        <v>339</v>
      </c>
      <c r="B126" s="21" t="s">
        <v>257</v>
      </c>
      <c r="C126" s="21" t="s">
        <v>227</v>
      </c>
      <c r="D126" s="22" t="n">
        <v>200</v>
      </c>
      <c r="E126" s="22" t="s">
        <v>347</v>
      </c>
      <c r="F126" s="32" t="n">
        <f aca="false">IFERROR(VLOOKUP($C126,①食材库!$B:$F,2,FALSE()),0)</f>
        <v>200</v>
      </c>
      <c r="G126" s="32" t="n">
        <f aca="false">IFERROR(VLOOKUP($C126,①食材库!$B:$F,3,FALSE()),0)</f>
        <v>4</v>
      </c>
      <c r="H126" s="32" t="n">
        <f aca="false">IFERROR(VLOOKUP($C126,①食材库!$B:$F,4,FALSE()),0)</f>
        <v>45</v>
      </c>
      <c r="I126" s="32" t="n">
        <f aca="false">IFERROR(VLOOKUP($C126,①食材库!$B:$F,5,FALSE()),0)</f>
        <v>0.4</v>
      </c>
      <c r="J126" s="32" t="n">
        <f aca="false">ROUND($D126/100*F126,0)</f>
        <v>400</v>
      </c>
      <c r="K126" s="32" t="n">
        <f aca="false">ROUND($D126/100*G126,1)</f>
        <v>8</v>
      </c>
      <c r="L126" s="32" t="n">
        <f aca="false">ROUND($D126/100*H126,1)</f>
        <v>90</v>
      </c>
      <c r="M126" s="32" t="n">
        <f aca="false">ROUND($D126/100*I126,1)</f>
        <v>0.8</v>
      </c>
    </row>
    <row r="127" customFormat="false" ht="15" hidden="false" customHeight="false" outlineLevel="0" collapsed="false">
      <c r="A127" s="21" t="s">
        <v>339</v>
      </c>
      <c r="B127" s="21" t="s">
        <v>257</v>
      </c>
      <c r="C127" s="21" t="s">
        <v>348</v>
      </c>
      <c r="D127" s="22" t="n">
        <v>200</v>
      </c>
      <c r="E127" s="22" t="s">
        <v>349</v>
      </c>
      <c r="F127" s="32" t="n">
        <f aca="false">IFERROR(VLOOKUP($C127,①食材库!$B:$F,2,FALSE()),0)</f>
        <v>80</v>
      </c>
      <c r="G127" s="32" t="n">
        <f aca="false">IFERROR(VLOOKUP($C127,①食材库!$B:$F,3,FALSE()),0)</f>
        <v>9</v>
      </c>
      <c r="H127" s="32" t="n">
        <f aca="false">IFERROR(VLOOKUP($C127,①食材库!$B:$F,4,FALSE()),0)</f>
        <v>2</v>
      </c>
      <c r="I127" s="32" t="n">
        <f aca="false">IFERROR(VLOOKUP($C127,①食材库!$B:$F,5,FALSE()),0)</f>
        <v>4.5</v>
      </c>
      <c r="J127" s="32" t="n">
        <f aca="false">ROUND($D127/100*F127,0)</f>
        <v>160</v>
      </c>
      <c r="K127" s="32" t="n">
        <f aca="false">ROUND($D127/100*G127,1)</f>
        <v>18</v>
      </c>
      <c r="L127" s="32" t="n">
        <f aca="false">ROUND($D127/100*H127,1)</f>
        <v>4</v>
      </c>
      <c r="M127" s="32" t="n">
        <f aca="false">ROUND($D127/100*I127,1)</f>
        <v>9</v>
      </c>
    </row>
    <row r="128" customFormat="false" ht="26.85" hidden="false" customHeight="false" outlineLevel="0" collapsed="false">
      <c r="A128" s="21" t="s">
        <v>350</v>
      </c>
      <c r="B128" s="21" t="s">
        <v>145</v>
      </c>
      <c r="C128" s="21" t="s">
        <v>236</v>
      </c>
      <c r="D128" s="22" t="n">
        <v>142</v>
      </c>
      <c r="E128" s="19" t="s">
        <v>351</v>
      </c>
      <c r="F128" s="32" t="n">
        <f aca="false">IFERROR(VLOOKUP($C128,①食材库!$B:$F,2,FALSE()),0)</f>
        <v>20</v>
      </c>
      <c r="G128" s="32" t="n">
        <f aca="false">IFERROR(VLOOKUP($C128,①食材库!$B:$F,3,FALSE()),0)</f>
        <v>2</v>
      </c>
      <c r="H128" s="32" t="n">
        <f aca="false">IFERROR(VLOOKUP($C128,①食材库!$B:$F,4,FALSE()),0)</f>
        <v>3.7</v>
      </c>
      <c r="I128" s="32" t="n">
        <f aca="false">IFERROR(VLOOKUP($C128,①食材库!$B:$F,5,FALSE()),0)</f>
        <v>0.3</v>
      </c>
      <c r="J128" s="32" t="n">
        <f aca="false">ROUND($D128/100*F128,0)</f>
        <v>28</v>
      </c>
      <c r="K128" s="32" t="n">
        <f aca="false">ROUND($D128/100*G128,1)</f>
        <v>2.8</v>
      </c>
      <c r="L128" s="32" t="n">
        <f aca="false">ROUND($D128/100*H128,1)</f>
        <v>5.3</v>
      </c>
      <c r="M128" s="32" t="n">
        <f aca="false">ROUND($D128/100*I128,1)</f>
        <v>0.4</v>
      </c>
    </row>
    <row r="129" customFormat="false" ht="15" hidden="false" customHeight="false" outlineLevel="0" collapsed="false">
      <c r="A129" s="21" t="s">
        <v>232</v>
      </c>
      <c r="B129" s="21" t="s">
        <v>186</v>
      </c>
      <c r="C129" s="21" t="s">
        <v>232</v>
      </c>
      <c r="D129" s="22" t="n">
        <v>170</v>
      </c>
      <c r="E129" s="19" t="s">
        <v>352</v>
      </c>
      <c r="F129" s="32" t="n">
        <f aca="false">IFERROR(VLOOKUP($C129,①食材库!$B:$F,2,FALSE()),0)</f>
        <v>57</v>
      </c>
      <c r="G129" s="32" t="n">
        <f aca="false">IFERROR(VLOOKUP($C129,①食材库!$B:$F,3,FALSE()),0)</f>
        <v>0.7</v>
      </c>
      <c r="H129" s="32" t="n">
        <f aca="false">IFERROR(VLOOKUP($C129,①食材库!$B:$F,4,FALSE()),0)</f>
        <v>14</v>
      </c>
      <c r="I129" s="32" t="n">
        <f aca="false">IFERROR(VLOOKUP($C129,①食材库!$B:$F,5,FALSE()),0)</f>
        <v>0.3</v>
      </c>
      <c r="J129" s="32" t="n">
        <f aca="false">ROUND($D129/100*F129,0)</f>
        <v>97</v>
      </c>
      <c r="K129" s="32" t="n">
        <f aca="false">ROUND($D129/100*G129,1)</f>
        <v>1.2</v>
      </c>
      <c r="L129" s="32" t="n">
        <f aca="false">ROUND($D129/100*H129,1)</f>
        <v>23.8</v>
      </c>
      <c r="M129" s="32" t="n">
        <f aca="false">ROUND($D129/100*I129,1)</f>
        <v>0.5</v>
      </c>
    </row>
    <row r="130" customFormat="false" ht="15" hidden="false" customHeight="false" outlineLevel="0" collapsed="false">
      <c r="A130" s="21" t="s">
        <v>353</v>
      </c>
      <c r="B130" s="21" t="s">
        <v>46</v>
      </c>
      <c r="C130" s="21" t="s">
        <v>229</v>
      </c>
      <c r="D130" s="22" t="n">
        <v>125</v>
      </c>
      <c r="E130" s="19" t="s">
        <v>311</v>
      </c>
      <c r="F130" s="32" t="n">
        <f aca="false">IFERROR(VLOOKUP($C130,①食材库!$B:$F,2,FALSE()),0)</f>
        <v>300</v>
      </c>
      <c r="G130" s="32" t="n">
        <f aca="false">IFERROR(VLOOKUP($C130,①食材库!$B:$F,3,FALSE()),0)</f>
        <v>12</v>
      </c>
      <c r="H130" s="32" t="n">
        <f aca="false">IFERROR(VLOOKUP($C130,①食材库!$B:$F,4,FALSE()),0)</f>
        <v>3</v>
      </c>
      <c r="I130" s="32" t="n">
        <f aca="false">IFERROR(VLOOKUP($C130,①食材库!$B:$F,5,FALSE()),0)</f>
        <v>27</v>
      </c>
      <c r="J130" s="32" t="n">
        <f aca="false">ROUND($D130/100*F130,0)</f>
        <v>375</v>
      </c>
      <c r="K130" s="32" t="n">
        <f aca="false">ROUND($D130/100*G130,1)</f>
        <v>15</v>
      </c>
      <c r="L130" s="32" t="n">
        <f aca="false">ROUND($D130/100*H130,1)</f>
        <v>3.8</v>
      </c>
      <c r="M130" s="32" t="n">
        <f aca="false">ROUND($D130/100*I130,1)</f>
        <v>33.8</v>
      </c>
    </row>
    <row r="131" customFormat="false" ht="15" hidden="false" customHeight="false" outlineLevel="0" collapsed="false">
      <c r="A131" s="21" t="s">
        <v>234</v>
      </c>
      <c r="B131" s="21" t="s">
        <v>186</v>
      </c>
      <c r="C131" s="21" t="s">
        <v>234</v>
      </c>
      <c r="D131" s="22" t="n">
        <v>150</v>
      </c>
      <c r="E131" s="19" t="s">
        <v>311</v>
      </c>
      <c r="F131" s="32" t="n">
        <f aca="false">IFERROR(VLOOKUP($C131,①食材库!$B:$F,2,FALSE()),0)</f>
        <v>39</v>
      </c>
      <c r="G131" s="32" t="n">
        <f aca="false">IFERROR(VLOOKUP($C131,①食材库!$B:$F,3,FALSE()),0)</f>
        <v>0.9</v>
      </c>
      <c r="H131" s="32" t="n">
        <f aca="false">IFERROR(VLOOKUP($C131,①食材库!$B:$F,4,FALSE()),0)</f>
        <v>10</v>
      </c>
      <c r="I131" s="32" t="n">
        <f aca="false">IFERROR(VLOOKUP($C131,①食材库!$B:$F,5,FALSE()),0)</f>
        <v>0.3</v>
      </c>
      <c r="J131" s="32" t="n">
        <f aca="false">ROUND($D131/100*F131,0)</f>
        <v>59</v>
      </c>
      <c r="K131" s="32" t="n">
        <f aca="false">ROUND($D131/100*G131,1)</f>
        <v>1.4</v>
      </c>
      <c r="L131" s="32" t="n">
        <f aca="false">ROUND($D131/100*H131,1)</f>
        <v>15</v>
      </c>
      <c r="M131" s="32" t="n">
        <f aca="false">ROUND($D131/100*I131,1)</f>
        <v>0.5</v>
      </c>
    </row>
    <row r="132" customFormat="false" ht="26.85" hidden="false" customHeight="false" outlineLevel="0" collapsed="false">
      <c r="A132" s="21" t="s">
        <v>239</v>
      </c>
      <c r="B132" s="16" t="s">
        <v>307</v>
      </c>
      <c r="C132" s="21" t="s">
        <v>239</v>
      </c>
      <c r="D132" s="22" t="n">
        <v>100</v>
      </c>
      <c r="E132" s="19" t="s">
        <v>354</v>
      </c>
      <c r="F132" s="32" t="n">
        <f aca="false">IFERROR(VLOOKUP($C132,①食材库!$B:$F,2,FALSE()),0)</f>
        <v>400</v>
      </c>
      <c r="G132" s="32" t="n">
        <f aca="false">IFERROR(VLOOKUP($C132,①食材库!$B:$F,3,FALSE()),0)</f>
        <v>5</v>
      </c>
      <c r="H132" s="32" t="n">
        <f aca="false">IFERROR(VLOOKUP($C132,①食材库!$B:$F,4,FALSE()),0)</f>
        <v>50</v>
      </c>
      <c r="I132" s="32" t="n">
        <f aca="false">IFERROR(VLOOKUP($C132,①食材库!$B:$F,5,FALSE()),0)</f>
        <v>20</v>
      </c>
      <c r="J132" s="32" t="n">
        <f aca="false">ROUND($D132/100*F132,0)</f>
        <v>400</v>
      </c>
      <c r="K132" s="32" t="n">
        <f aca="false">ROUND($D132/100*G132,1)</f>
        <v>5</v>
      </c>
      <c r="L132" s="32" t="n">
        <f aca="false">ROUND($D132/100*H132,1)</f>
        <v>50</v>
      </c>
      <c r="M132" s="32" t="n">
        <f aca="false">ROUND($D132/100*I132,1)</f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1"/>
    <col collapsed="false" customWidth="true" hidden="false" outlineLevel="0" max="4" min="3" style="1" width="10"/>
    <col collapsed="false" customWidth="true" hidden="false" outlineLevel="0" max="7" min="5" style="1" width="9"/>
    <col collapsed="false" customWidth="true" hidden="false" outlineLevel="0" max="8" min="8" style="1" width="10"/>
    <col collapsed="false" customWidth="true" hidden="false" outlineLevel="0" max="11" min="9" style="1" width="9"/>
    <col collapsed="false" customWidth="true" hidden="false" outlineLevel="0" max="12" min="12" style="1" width="24"/>
  </cols>
  <sheetData>
    <row r="1" customFormat="false" ht="21.75" hidden="false" customHeight="true" outlineLevel="0" collapsed="false">
      <c r="A1" s="2" t="s">
        <v>355</v>
      </c>
    </row>
    <row r="2" customFormat="false" ht="16.5" hidden="false" customHeight="true" outlineLevel="0" collapsed="false">
      <c r="A2" s="9" t="s">
        <v>244</v>
      </c>
      <c r="B2" s="9" t="s">
        <v>245</v>
      </c>
      <c r="C2" s="9" t="s">
        <v>356</v>
      </c>
      <c r="D2" s="9" t="s">
        <v>357</v>
      </c>
      <c r="E2" s="9" t="s">
        <v>358</v>
      </c>
      <c r="F2" s="9" t="s">
        <v>359</v>
      </c>
      <c r="G2" s="9" t="s">
        <v>360</v>
      </c>
      <c r="H2" s="9" t="s">
        <v>361</v>
      </c>
      <c r="I2" s="9" t="s">
        <v>362</v>
      </c>
      <c r="J2" s="9" t="s">
        <v>363</v>
      </c>
      <c r="K2" s="9" t="s">
        <v>364</v>
      </c>
      <c r="L2" s="9" t="s">
        <v>365</v>
      </c>
    </row>
    <row r="3" customFormat="false" ht="15" hidden="false" customHeight="true" outlineLevel="0" collapsed="false">
      <c r="A3" s="10" t="s">
        <v>257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customFormat="false" ht="15" hidden="false" customHeight="true" outlineLevel="0" collapsed="false">
      <c r="A4" s="11" t="s">
        <v>256</v>
      </c>
      <c r="B4" s="11" t="s">
        <v>257</v>
      </c>
      <c r="C4" s="12" t="n">
        <v>4</v>
      </c>
      <c r="D4" s="26" t="n">
        <f aca="false">SUMIF(②配方明细!$A:$A,$A4,②配方明细!$J:$J)</f>
        <v>1113</v>
      </c>
      <c r="E4" s="26" t="n">
        <f aca="false">ROUND(SUMIF(②配方明细!$A:$A,$A4,②配方明细!$K:$K),1)</f>
        <v>75.6</v>
      </c>
      <c r="F4" s="26" t="n">
        <f aca="false">ROUND(SUMIF(②配方明细!$A:$A,$A4,②配方明细!$L:$L),1)</f>
        <v>18.9</v>
      </c>
      <c r="G4" s="26" t="n">
        <f aca="false">ROUND(SUMIF(②配方明细!$A:$A,$A4,②配方明细!$M:$M),1)</f>
        <v>83.7</v>
      </c>
      <c r="H4" s="26" t="n">
        <f aca="false">IFERROR(ROUND(D4/C4,0),0)</f>
        <v>278</v>
      </c>
      <c r="I4" s="26" t="n">
        <f aca="false">IFERROR(ROUND(E4/C4,1),0)</f>
        <v>18.9</v>
      </c>
      <c r="J4" s="26" t="n">
        <f aca="false">IFERROR(ROUND(F4/C4,1),0)</f>
        <v>4.7</v>
      </c>
      <c r="K4" s="26" t="n">
        <f aca="false">IFERROR(ROUND(G4/C4,1),0)</f>
        <v>20.9</v>
      </c>
      <c r="L4" s="11" t="s">
        <v>366</v>
      </c>
    </row>
    <row r="5" customFormat="false" ht="15" hidden="false" customHeight="true" outlineLevel="0" collapsed="false">
      <c r="A5" s="11" t="s">
        <v>262</v>
      </c>
      <c r="B5" s="11" t="s">
        <v>257</v>
      </c>
      <c r="C5" s="12" t="n">
        <v>4</v>
      </c>
      <c r="D5" s="26" t="n">
        <f aca="false">SUMIF(②配方明细!$A:$A,$A5,②配方明细!$J:$J)</f>
        <v>831</v>
      </c>
      <c r="E5" s="26" t="n">
        <f aca="false">ROUND(SUMIF(②配方明细!$A:$A,$A5,②配方明细!$K:$K),1)</f>
        <v>85.6</v>
      </c>
      <c r="F5" s="26" t="n">
        <f aca="false">ROUND(SUMIF(②配方明细!$A:$A,$A5,②配方明细!$L:$L),1)</f>
        <v>46</v>
      </c>
      <c r="G5" s="26" t="n">
        <f aca="false">ROUND(SUMIF(②配方明细!$A:$A,$A5,②配方明细!$M:$M),1)</f>
        <v>33.1</v>
      </c>
      <c r="H5" s="26" t="n">
        <f aca="false">IFERROR(ROUND(D5/C5,0),0)</f>
        <v>208</v>
      </c>
      <c r="I5" s="26" t="n">
        <f aca="false">IFERROR(ROUND(E5/C5,1),0)</f>
        <v>21.4</v>
      </c>
      <c r="J5" s="26" t="n">
        <f aca="false">IFERROR(ROUND(F5/C5,1),0)</f>
        <v>11.5</v>
      </c>
      <c r="K5" s="26" t="n">
        <f aca="false">IFERROR(ROUND(G5/C5,1),0)</f>
        <v>8.3</v>
      </c>
      <c r="L5" s="11" t="s">
        <v>367</v>
      </c>
    </row>
    <row r="6" customFormat="false" ht="15" hidden="false" customHeight="true" outlineLevel="0" collapsed="false">
      <c r="A6" s="11" t="s">
        <v>264</v>
      </c>
      <c r="B6" s="11" t="s">
        <v>257</v>
      </c>
      <c r="C6" s="12" t="n">
        <v>1</v>
      </c>
      <c r="D6" s="26" t="n">
        <f aca="false">SUMIF(②配方明细!$A:$A,$A6,②配方明细!$J:$J)</f>
        <v>267</v>
      </c>
      <c r="E6" s="26" t="n">
        <f aca="false">ROUND(SUMIF(②配方明细!$A:$A,$A6,②配方明细!$K:$K),1)</f>
        <v>46</v>
      </c>
      <c r="F6" s="26" t="n">
        <f aca="false">ROUND(SUMIF(②配方明细!$A:$A,$A6,②配方明细!$L:$L),1)</f>
        <v>0</v>
      </c>
      <c r="G6" s="26" t="n">
        <f aca="false">ROUND(SUMIF(②配方明细!$A:$A,$A6,②配方明细!$M:$M),1)</f>
        <v>8.2</v>
      </c>
      <c r="H6" s="26" t="n">
        <f aca="false">IFERROR(ROUND(D6/C6,0),0)</f>
        <v>267</v>
      </c>
      <c r="I6" s="26" t="n">
        <f aca="false">IFERROR(ROUND(E6/C6,1),0)</f>
        <v>46</v>
      </c>
      <c r="J6" s="26" t="n">
        <f aca="false">IFERROR(ROUND(F6/C6,1),0)</f>
        <v>0</v>
      </c>
      <c r="K6" s="26" t="n">
        <f aca="false">IFERROR(ROUND(G6/C6,1),0)</f>
        <v>8.2</v>
      </c>
      <c r="L6" s="11"/>
    </row>
    <row r="7" customFormat="false" ht="15" hidden="false" customHeight="true" outlineLevel="0" collapsed="false">
      <c r="A7" s="11" t="s">
        <v>265</v>
      </c>
      <c r="B7" s="11" t="s">
        <v>257</v>
      </c>
      <c r="C7" s="12" t="n">
        <v>1</v>
      </c>
      <c r="D7" s="26" t="n">
        <f aca="false">SUMIF(②配方明细!$A:$A,$A7,②配方明细!$J:$J)</f>
        <v>170</v>
      </c>
      <c r="E7" s="26" t="n">
        <f aca="false">ROUND(SUMIF(②配方明细!$A:$A,$A7,②配方明细!$K:$K),1)</f>
        <v>40</v>
      </c>
      <c r="F7" s="26" t="n">
        <f aca="false">ROUND(SUMIF(②配方明细!$A:$A,$A7,②配方明细!$L:$L),1)</f>
        <v>0</v>
      </c>
      <c r="G7" s="26" t="n">
        <f aca="false">ROUND(SUMIF(②配方明细!$A:$A,$A7,②配方明细!$M:$M),1)</f>
        <v>1</v>
      </c>
      <c r="H7" s="26" t="n">
        <f aca="false">IFERROR(ROUND(D7/C7,0),0)</f>
        <v>170</v>
      </c>
      <c r="I7" s="26" t="n">
        <f aca="false">IFERROR(ROUND(E7/C7,1),0)</f>
        <v>40</v>
      </c>
      <c r="J7" s="26" t="n">
        <f aca="false">IFERROR(ROUND(F7/C7,1),0)</f>
        <v>0</v>
      </c>
      <c r="K7" s="26" t="n">
        <f aca="false">IFERROR(ROUND(G7/C7,1),0)</f>
        <v>1</v>
      </c>
      <c r="L7" s="11"/>
    </row>
    <row r="8" customFormat="false" ht="15" hidden="false" customHeight="true" outlineLevel="0" collapsed="false">
      <c r="A8" s="11" t="s">
        <v>266</v>
      </c>
      <c r="B8" s="11" t="s">
        <v>257</v>
      </c>
      <c r="C8" s="12" t="n">
        <v>1</v>
      </c>
      <c r="D8" s="26" t="n">
        <f aca="false">SUMIF(②配方明细!$A:$A,$A8,②配方明细!$J:$J)</f>
        <v>225</v>
      </c>
      <c r="E8" s="26" t="n">
        <f aca="false">ROUND(SUMIF(②配方明细!$A:$A,$A8,②配方明细!$K:$K),1)</f>
        <v>50</v>
      </c>
      <c r="F8" s="26" t="n">
        <f aca="false">ROUND(SUMIF(②配方明细!$A:$A,$A8,②配方明细!$L:$L),1)</f>
        <v>0</v>
      </c>
      <c r="G8" s="26" t="n">
        <f aca="false">ROUND(SUMIF(②配方明细!$A:$A,$A8,②配方明细!$M:$M),1)</f>
        <v>2.5</v>
      </c>
      <c r="H8" s="26" t="n">
        <f aca="false">IFERROR(ROUND(D8/C8,0),0)</f>
        <v>225</v>
      </c>
      <c r="I8" s="26" t="n">
        <f aca="false">IFERROR(ROUND(E8/C8,1),0)</f>
        <v>50</v>
      </c>
      <c r="J8" s="26" t="n">
        <f aca="false">IFERROR(ROUND(F8/C8,1),0)</f>
        <v>0</v>
      </c>
      <c r="K8" s="26" t="n">
        <f aca="false">IFERROR(ROUND(G8/C8,1),0)</f>
        <v>2.5</v>
      </c>
      <c r="L8" s="11"/>
    </row>
    <row r="9" customFormat="false" ht="15" hidden="false" customHeight="true" outlineLevel="0" collapsed="false">
      <c r="A9" s="11" t="s">
        <v>267</v>
      </c>
      <c r="B9" s="11" t="s">
        <v>257</v>
      </c>
      <c r="C9" s="12" t="n">
        <v>1</v>
      </c>
      <c r="D9" s="26" t="n">
        <f aca="false">SUMIF(②配方明细!$A:$A,$A9,②配方明细!$J:$J)</f>
        <v>300</v>
      </c>
      <c r="E9" s="26" t="n">
        <f aca="false">ROUND(SUMIF(②配方明细!$A:$A,$A9,②配方明细!$K:$K),1)</f>
        <v>36</v>
      </c>
      <c r="F9" s="26" t="n">
        <f aca="false">ROUND(SUMIF(②配方明细!$A:$A,$A9,②配方明细!$L:$L),1)</f>
        <v>9</v>
      </c>
      <c r="G9" s="26" t="n">
        <f aca="false">ROUND(SUMIF(②配方明细!$A:$A,$A9,②配方明细!$M:$M),1)</f>
        <v>13.8</v>
      </c>
      <c r="H9" s="26" t="n">
        <f aca="false">IFERROR(ROUND(D9/C9,0),0)</f>
        <v>300</v>
      </c>
      <c r="I9" s="26" t="n">
        <f aca="false">IFERROR(ROUND(E9/C9,1),0)</f>
        <v>36</v>
      </c>
      <c r="J9" s="26" t="n">
        <f aca="false">IFERROR(ROUND(F9/C9,1),0)</f>
        <v>9</v>
      </c>
      <c r="K9" s="26" t="n">
        <f aca="false">IFERROR(ROUND(G9/C9,1),0)</f>
        <v>13.8</v>
      </c>
      <c r="L9" s="11"/>
    </row>
    <row r="10" customFormat="false" ht="15" hidden="false" customHeight="true" outlineLevel="0" collapsed="false">
      <c r="A10" s="11" t="s">
        <v>268</v>
      </c>
      <c r="B10" s="11" t="s">
        <v>257</v>
      </c>
      <c r="C10" s="12" t="n">
        <v>2</v>
      </c>
      <c r="D10" s="26" t="n">
        <f aca="false">SUMIF(②配方明细!$A:$A,$A10,②配方明细!$J:$J)</f>
        <v>279</v>
      </c>
      <c r="E10" s="26" t="n">
        <f aca="false">ROUND(SUMIF(②配方明细!$A:$A,$A10,②配方明细!$K:$K),1)</f>
        <v>20.7</v>
      </c>
      <c r="F10" s="26" t="n">
        <f aca="false">ROUND(SUMIF(②配方明细!$A:$A,$A10,②配方明细!$L:$L),1)</f>
        <v>9</v>
      </c>
      <c r="G10" s="26" t="n">
        <f aca="false">ROUND(SUMIF(②配方明细!$A:$A,$A10,②配方明细!$M:$M),1)</f>
        <v>17.8</v>
      </c>
      <c r="H10" s="26" t="n">
        <f aca="false">IFERROR(ROUND(D10/C10,0),0)</f>
        <v>140</v>
      </c>
      <c r="I10" s="26" t="n">
        <f aca="false">IFERROR(ROUND(E10/C10,1),0)</f>
        <v>10.4</v>
      </c>
      <c r="J10" s="26" t="n">
        <f aca="false">IFERROR(ROUND(F10/C10,1),0)</f>
        <v>4.5</v>
      </c>
      <c r="K10" s="26" t="n">
        <f aca="false">IFERROR(ROUND(G10/C10,1),0)</f>
        <v>8.9</v>
      </c>
      <c r="L10" s="11"/>
    </row>
    <row r="11" customFormat="false" ht="15" hidden="false" customHeight="true" outlineLevel="0" collapsed="false">
      <c r="A11" s="11" t="s">
        <v>270</v>
      </c>
      <c r="B11" s="11" t="s">
        <v>257</v>
      </c>
      <c r="C11" s="12" t="n">
        <v>3</v>
      </c>
      <c r="D11" s="26" t="n">
        <f aca="false">SUMIF(②配方明细!$A:$A,$A11,②配方明细!$J:$J)</f>
        <v>450</v>
      </c>
      <c r="E11" s="26" t="n">
        <f aca="false">ROUND(SUMIF(②配方明细!$A:$A,$A11,②配方明细!$K:$K),1)</f>
        <v>60</v>
      </c>
      <c r="F11" s="26" t="n">
        <f aca="false">ROUND(SUMIF(②配方明细!$A:$A,$A11,②配方明细!$L:$L),1)</f>
        <v>0</v>
      </c>
      <c r="G11" s="26" t="n">
        <f aca="false">ROUND(SUMIF(②配方明细!$A:$A,$A11,②配方明细!$M:$M),1)</f>
        <v>21</v>
      </c>
      <c r="H11" s="26" t="n">
        <f aca="false">IFERROR(ROUND(D11/C11,0),0)</f>
        <v>150</v>
      </c>
      <c r="I11" s="26" t="n">
        <f aca="false">IFERROR(ROUND(E11/C11,1),0)</f>
        <v>20</v>
      </c>
      <c r="J11" s="26" t="n">
        <f aca="false">IFERROR(ROUND(F11/C11,1),0)</f>
        <v>0</v>
      </c>
      <c r="K11" s="26" t="n">
        <f aca="false">IFERROR(ROUND(G11/C11,1),0)</f>
        <v>7</v>
      </c>
      <c r="L11" s="11" t="s">
        <v>368</v>
      </c>
    </row>
    <row r="12" customFormat="false" ht="15" hidden="false" customHeight="true" outlineLevel="0" collapsed="false">
      <c r="A12" s="11" t="s">
        <v>271</v>
      </c>
      <c r="B12" s="11" t="s">
        <v>257</v>
      </c>
      <c r="C12" s="12" t="n">
        <v>1</v>
      </c>
      <c r="D12" s="26" t="n">
        <f aca="false">SUMIF(②配方明细!$A:$A,$A12,②配方明细!$J:$J)</f>
        <v>443</v>
      </c>
      <c r="E12" s="26" t="n">
        <f aca="false">ROUND(SUMIF(②配方明细!$A:$A,$A12,②配方明细!$K:$K),1)</f>
        <v>40</v>
      </c>
      <c r="F12" s="26" t="n">
        <f aca="false">ROUND(SUMIF(②配方明细!$A:$A,$A12,②配方明细!$L:$L),1)</f>
        <v>0</v>
      </c>
      <c r="G12" s="26" t="n">
        <f aca="false">ROUND(SUMIF(②配方明细!$A:$A,$A12,②配方明细!$M:$M),1)</f>
        <v>29</v>
      </c>
      <c r="H12" s="26" t="n">
        <f aca="false">IFERROR(ROUND(D12/C12,0),0)</f>
        <v>443</v>
      </c>
      <c r="I12" s="26" t="n">
        <f aca="false">IFERROR(ROUND(E12/C12,1),0)</f>
        <v>40</v>
      </c>
      <c r="J12" s="26" t="n">
        <f aca="false">IFERROR(ROUND(F12/C12,1),0)</f>
        <v>0</v>
      </c>
      <c r="K12" s="26" t="n">
        <f aca="false">IFERROR(ROUND(G12/C12,1),0)</f>
        <v>29</v>
      </c>
      <c r="L12" s="11"/>
    </row>
    <row r="13" customFormat="false" ht="15" hidden="false" customHeight="true" outlineLevel="0" collapsed="false">
      <c r="A13" s="11" t="s">
        <v>272</v>
      </c>
      <c r="B13" s="11" t="s">
        <v>257</v>
      </c>
      <c r="C13" s="12" t="n">
        <v>1</v>
      </c>
      <c r="D13" s="26" t="n">
        <f aca="false">SUMIF(②配方明细!$A:$A,$A13,②配方明细!$J:$J)</f>
        <v>314</v>
      </c>
      <c r="E13" s="26" t="n">
        <f aca="false">ROUND(SUMIF(②配方明细!$A:$A,$A13,②配方明细!$K:$K),1)</f>
        <v>47.5</v>
      </c>
      <c r="F13" s="26" t="n">
        <f aca="false">ROUND(SUMIF(②配方明细!$A:$A,$A13,②配方明细!$L:$L),1)</f>
        <v>9</v>
      </c>
      <c r="G13" s="26" t="n">
        <f aca="false">ROUND(SUMIF(②配方明细!$A:$A,$A13,②配方明细!$M:$M),1)</f>
        <v>8.7</v>
      </c>
      <c r="H13" s="26" t="n">
        <f aca="false">IFERROR(ROUND(D13/C13,0),0)</f>
        <v>314</v>
      </c>
      <c r="I13" s="26" t="n">
        <f aca="false">IFERROR(ROUND(E13/C13,1),0)</f>
        <v>47.5</v>
      </c>
      <c r="J13" s="26" t="n">
        <f aca="false">IFERROR(ROUND(F13/C13,1),0)</f>
        <v>9</v>
      </c>
      <c r="K13" s="26" t="n">
        <f aca="false">IFERROR(ROUND(G13/C13,1),0)</f>
        <v>8.7</v>
      </c>
      <c r="L13" s="11"/>
    </row>
    <row r="14" customFormat="false" ht="15" hidden="false" customHeight="true" outlineLevel="0" collapsed="false">
      <c r="A14" s="10" t="s">
        <v>145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customFormat="false" ht="15" hidden="false" customHeight="true" outlineLevel="0" collapsed="false">
      <c r="A15" s="11" t="s">
        <v>273</v>
      </c>
      <c r="B15" s="11" t="s">
        <v>145</v>
      </c>
      <c r="C15" s="12" t="n">
        <v>1</v>
      </c>
      <c r="D15" s="26" t="n">
        <f aca="false">SUMIF(②配方明细!$A:$A,$A15,②配方明细!$J:$J)</f>
        <v>112</v>
      </c>
      <c r="E15" s="26" t="n">
        <f aca="false">ROUND(SUMIF(②配方明细!$A:$A,$A15,②配方明细!$K:$K),1)</f>
        <v>7</v>
      </c>
      <c r="F15" s="26" t="n">
        <f aca="false">ROUND(SUMIF(②配方明细!$A:$A,$A15,②配方明细!$L:$L),1)</f>
        <v>17.5</v>
      </c>
      <c r="G15" s="26" t="n">
        <f aca="false">ROUND(SUMIF(②配方明细!$A:$A,$A15,②配方明细!$M:$M),1)</f>
        <v>4</v>
      </c>
      <c r="H15" s="26" t="n">
        <f aca="false">IFERROR(ROUND(D15/C15,0),0)</f>
        <v>112</v>
      </c>
      <c r="I15" s="26" t="n">
        <f aca="false">IFERROR(ROUND(E15/C15,1),0)</f>
        <v>7</v>
      </c>
      <c r="J15" s="26" t="n">
        <f aca="false">IFERROR(ROUND(F15/C15,1),0)</f>
        <v>17.5</v>
      </c>
      <c r="K15" s="26" t="n">
        <f aca="false">IFERROR(ROUND(G15/C15,1),0)</f>
        <v>4</v>
      </c>
      <c r="L15" s="11"/>
    </row>
    <row r="16" customFormat="false" ht="15" hidden="false" customHeight="true" outlineLevel="0" collapsed="false">
      <c r="A16" s="11" t="s">
        <v>274</v>
      </c>
      <c r="B16" s="11" t="s">
        <v>145</v>
      </c>
      <c r="C16" s="12" t="n">
        <v>1</v>
      </c>
      <c r="D16" s="26" t="n">
        <f aca="false">SUMIF(②配方明细!$A:$A,$A16,②配方明细!$J:$J)</f>
        <v>73</v>
      </c>
      <c r="E16" s="26" t="n">
        <f aca="false">ROUND(SUMIF(②配方明细!$A:$A,$A16,②配方明细!$K:$K),1)</f>
        <v>5.8</v>
      </c>
      <c r="F16" s="26" t="n">
        <f aca="false">ROUND(SUMIF(②配方明细!$A:$A,$A16,②配方明细!$L:$L),1)</f>
        <v>7.2</v>
      </c>
      <c r="G16" s="26" t="n">
        <f aca="false">ROUND(SUMIF(②配方明细!$A:$A,$A16,②配方明细!$M:$M),1)</f>
        <v>3.8</v>
      </c>
      <c r="H16" s="26" t="n">
        <f aca="false">IFERROR(ROUND(D16/C16,0),0)</f>
        <v>73</v>
      </c>
      <c r="I16" s="26" t="n">
        <f aca="false">IFERROR(ROUND(E16/C16,1),0)</f>
        <v>5.8</v>
      </c>
      <c r="J16" s="26" t="n">
        <f aca="false">IFERROR(ROUND(F16/C16,1),0)</f>
        <v>7.2</v>
      </c>
      <c r="K16" s="26" t="n">
        <f aca="false">IFERROR(ROUND(G16/C16,1),0)</f>
        <v>3.8</v>
      </c>
      <c r="L16" s="11"/>
    </row>
    <row r="17" customFormat="false" ht="15" hidden="false" customHeight="true" outlineLevel="0" collapsed="false">
      <c r="A17" s="11" t="s">
        <v>275</v>
      </c>
      <c r="B17" s="11" t="s">
        <v>145</v>
      </c>
      <c r="C17" s="12" t="n">
        <v>1</v>
      </c>
      <c r="D17" s="26" t="n">
        <f aca="false">SUMIF(②配方明细!$A:$A,$A17,②配方明细!$J:$J)</f>
        <v>39</v>
      </c>
      <c r="E17" s="26" t="n">
        <f aca="false">ROUND(SUMIF(②配方明细!$A:$A,$A17,②配方明细!$K:$K),1)</f>
        <v>1.5</v>
      </c>
      <c r="F17" s="26" t="n">
        <f aca="false">ROUND(SUMIF(②配方明细!$A:$A,$A17,②配方明细!$L:$L),1)</f>
        <v>8.9</v>
      </c>
      <c r="G17" s="26" t="n">
        <f aca="false">ROUND(SUMIF(②配方明细!$A:$A,$A17,②配方明细!$M:$M),1)</f>
        <v>0.2</v>
      </c>
      <c r="H17" s="26" t="n">
        <f aca="false">IFERROR(ROUND(D17/C17,0),0)</f>
        <v>39</v>
      </c>
      <c r="I17" s="26" t="n">
        <f aca="false">IFERROR(ROUND(E17/C17,1),0)</f>
        <v>1.5</v>
      </c>
      <c r="J17" s="26" t="n">
        <f aca="false">IFERROR(ROUND(F17/C17,1),0)</f>
        <v>8.9</v>
      </c>
      <c r="K17" s="26" t="n">
        <f aca="false">IFERROR(ROUND(G17/C17,1),0)</f>
        <v>0.2</v>
      </c>
      <c r="L17" s="11"/>
    </row>
    <row r="18" customFormat="false" ht="15" hidden="false" customHeight="true" outlineLevel="0" collapsed="false">
      <c r="A18" s="11" t="s">
        <v>276</v>
      </c>
      <c r="B18" s="11" t="s">
        <v>145</v>
      </c>
      <c r="C18" s="12" t="n">
        <v>1</v>
      </c>
      <c r="D18" s="26" t="n">
        <f aca="false">SUMIF(②配方明细!$A:$A,$A18,②配方明细!$J:$J)</f>
        <v>60</v>
      </c>
      <c r="E18" s="26" t="n">
        <f aca="false">ROUND(SUMIF(②配方明细!$A:$A,$A18,②配方明细!$K:$K),1)</f>
        <v>5</v>
      </c>
      <c r="F18" s="26" t="n">
        <f aca="false">ROUND(SUMIF(②配方明细!$A:$A,$A18,②配方明细!$L:$L),1)</f>
        <v>10</v>
      </c>
      <c r="G18" s="26" t="n">
        <f aca="false">ROUND(SUMIF(②配方明细!$A:$A,$A18,②配方明细!$M:$M),1)</f>
        <v>0.6</v>
      </c>
      <c r="H18" s="26" t="n">
        <f aca="false">IFERROR(ROUND(D18/C18,0),0)</f>
        <v>60</v>
      </c>
      <c r="I18" s="26" t="n">
        <f aca="false">IFERROR(ROUND(E18/C18,1),0)</f>
        <v>5</v>
      </c>
      <c r="J18" s="26" t="n">
        <f aca="false">IFERROR(ROUND(F18/C18,1),0)</f>
        <v>10</v>
      </c>
      <c r="K18" s="26" t="n">
        <f aca="false">IFERROR(ROUND(G18/C18,1),0)</f>
        <v>0.6</v>
      </c>
      <c r="L18" s="11"/>
    </row>
    <row r="19" customFormat="false" ht="15" hidden="false" customHeight="true" outlineLevel="0" collapsed="false">
      <c r="A19" s="11" t="s">
        <v>277</v>
      </c>
      <c r="B19" s="11" t="s">
        <v>145</v>
      </c>
      <c r="C19" s="12" t="n">
        <v>1</v>
      </c>
      <c r="D19" s="26" t="n">
        <f aca="false">SUMIF(②配方明细!$A:$A,$A19,②配方明细!$J:$J)</f>
        <v>99</v>
      </c>
      <c r="E19" s="26" t="n">
        <f aca="false">ROUND(SUMIF(②配方明细!$A:$A,$A19,②配方明细!$K:$K),1)</f>
        <v>3.4</v>
      </c>
      <c r="F19" s="26" t="n">
        <f aca="false">ROUND(SUMIF(②配方明细!$A:$A,$A19,②配方明细!$L:$L),1)</f>
        <v>16.7</v>
      </c>
      <c r="G19" s="26" t="n">
        <f aca="false">ROUND(SUMIF(②配方明细!$A:$A,$A19,②配方明细!$M:$M),1)</f>
        <v>3.3</v>
      </c>
      <c r="H19" s="26" t="n">
        <f aca="false">IFERROR(ROUND(D19/C19,0),0)</f>
        <v>99</v>
      </c>
      <c r="I19" s="26" t="n">
        <f aca="false">IFERROR(ROUND(E19/C19,1),0)</f>
        <v>3.4</v>
      </c>
      <c r="J19" s="26" t="n">
        <f aca="false">IFERROR(ROUND(F19/C19,1),0)</f>
        <v>16.7</v>
      </c>
      <c r="K19" s="26" t="n">
        <f aca="false">IFERROR(ROUND(G19/C19,1),0)</f>
        <v>3.3</v>
      </c>
      <c r="L19" s="11"/>
    </row>
    <row r="20" customFormat="false" ht="15" hidden="false" customHeight="true" outlineLevel="0" collapsed="false">
      <c r="A20" s="11" t="s">
        <v>278</v>
      </c>
      <c r="B20" s="11" t="s">
        <v>145</v>
      </c>
      <c r="C20" s="12" t="n">
        <v>1</v>
      </c>
      <c r="D20" s="26" t="n">
        <f aca="false">SUMIF(②配方明细!$A:$A,$A20,②配方明细!$J:$J)</f>
        <v>110</v>
      </c>
      <c r="E20" s="26" t="n">
        <f aca="false">ROUND(SUMIF(②配方明细!$A:$A,$A20,②配方明细!$K:$K),1)</f>
        <v>10</v>
      </c>
      <c r="F20" s="26" t="n">
        <f aca="false">ROUND(SUMIF(②配方明细!$A:$A,$A20,②配方明细!$L:$L),1)</f>
        <v>4</v>
      </c>
      <c r="G20" s="26" t="n">
        <f aca="false">ROUND(SUMIF(②配方明细!$A:$A,$A20,②配方明细!$M:$M),1)</f>
        <v>5</v>
      </c>
      <c r="H20" s="26" t="n">
        <f aca="false">IFERROR(ROUND(D20/C20,0),0)</f>
        <v>110</v>
      </c>
      <c r="I20" s="26" t="n">
        <f aca="false">IFERROR(ROUND(E20/C20,1),0)</f>
        <v>10</v>
      </c>
      <c r="J20" s="26" t="n">
        <f aca="false">IFERROR(ROUND(F20/C20,1),0)</f>
        <v>4</v>
      </c>
      <c r="K20" s="26" t="n">
        <f aca="false">IFERROR(ROUND(G20/C20,1),0)</f>
        <v>5</v>
      </c>
      <c r="L20" s="11"/>
    </row>
    <row r="21" customFormat="false" ht="15" hidden="false" customHeight="true" outlineLevel="0" collapsed="false">
      <c r="A21" s="10" t="s">
        <v>280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customFormat="false" ht="15" hidden="false" customHeight="true" outlineLevel="0" collapsed="false">
      <c r="A22" s="11" t="s">
        <v>279</v>
      </c>
      <c r="B22" s="11" t="s">
        <v>280</v>
      </c>
      <c r="C22" s="12" t="n">
        <v>3</v>
      </c>
      <c r="D22" s="26" t="n">
        <f aca="false">SUMIF(②配方明细!$A:$A,$A22,②配方明细!$J:$J)</f>
        <v>357</v>
      </c>
      <c r="E22" s="26" t="n">
        <f aca="false">ROUND(SUMIF(②配方明细!$A:$A,$A22,②配方明细!$K:$K),1)</f>
        <v>41.4</v>
      </c>
      <c r="F22" s="26" t="n">
        <f aca="false">ROUND(SUMIF(②配方明细!$A:$A,$A22,②配方明细!$L:$L),1)</f>
        <v>13</v>
      </c>
      <c r="G22" s="26" t="n">
        <f aca="false">ROUND(SUMIF(②配方明细!$A:$A,$A22,②配方明细!$M:$M),1)</f>
        <v>16.8</v>
      </c>
      <c r="H22" s="26" t="n">
        <f aca="false">IFERROR(ROUND(D22/C22,0),0)</f>
        <v>119</v>
      </c>
      <c r="I22" s="26" t="n">
        <f aca="false">IFERROR(ROUND(E22/C22,1),0)</f>
        <v>13.8</v>
      </c>
      <c r="J22" s="26" t="n">
        <f aca="false">IFERROR(ROUND(F22/C22,1),0)</f>
        <v>4.3</v>
      </c>
      <c r="K22" s="26" t="n">
        <f aca="false">IFERROR(ROUND(G22/C22,1),0)</f>
        <v>5.6</v>
      </c>
      <c r="L22" s="11" t="s">
        <v>369</v>
      </c>
    </row>
    <row r="23" customFormat="false" ht="15" hidden="false" customHeight="true" outlineLevel="0" collapsed="false">
      <c r="A23" s="11" t="s">
        <v>281</v>
      </c>
      <c r="B23" s="11" t="s">
        <v>280</v>
      </c>
      <c r="C23" s="12" t="n">
        <v>3</v>
      </c>
      <c r="D23" s="26" t="n">
        <f aca="false">SUMIF(②配方明细!$A:$A,$A23,②配方明细!$J:$J)</f>
        <v>205</v>
      </c>
      <c r="E23" s="26" t="n">
        <f aca="false">ROUND(SUMIF(②配方明细!$A:$A,$A23,②配方明细!$K:$K),1)</f>
        <v>19.7</v>
      </c>
      <c r="F23" s="26" t="n">
        <f aca="false">ROUND(SUMIF(②配方明细!$A:$A,$A23,②配方明细!$L:$L),1)</f>
        <v>13</v>
      </c>
      <c r="G23" s="26" t="n">
        <f aca="false">ROUND(SUMIF(②配方明细!$A:$A,$A23,②配方明细!$M:$M),1)</f>
        <v>9.6</v>
      </c>
      <c r="H23" s="26" t="n">
        <f aca="false">IFERROR(ROUND(D23/C23,0),0)</f>
        <v>68</v>
      </c>
      <c r="I23" s="26" t="n">
        <f aca="false">IFERROR(ROUND(E23/C23,1),0)</f>
        <v>6.6</v>
      </c>
      <c r="J23" s="26" t="n">
        <f aca="false">IFERROR(ROUND(F23/C23,1),0)</f>
        <v>4.3</v>
      </c>
      <c r="K23" s="26" t="n">
        <f aca="false">IFERROR(ROUND(G23/C23,1),0)</f>
        <v>3.2</v>
      </c>
      <c r="L23" s="11"/>
    </row>
    <row r="24" customFormat="false" ht="15" hidden="false" customHeight="true" outlineLevel="0" collapsed="false">
      <c r="A24" s="11" t="s">
        <v>282</v>
      </c>
      <c r="B24" s="11" t="s">
        <v>280</v>
      </c>
      <c r="C24" s="12" t="n">
        <v>2</v>
      </c>
      <c r="D24" s="26" t="n">
        <f aca="false">SUMIF(②配方明细!$A:$A,$A24,②配方明细!$J:$J)</f>
        <v>138</v>
      </c>
      <c r="E24" s="26" t="n">
        <f aca="false">ROUND(SUMIF(②配方明细!$A:$A,$A24,②配方明细!$K:$K),1)</f>
        <v>11.1</v>
      </c>
      <c r="F24" s="26" t="n">
        <f aca="false">ROUND(SUMIF(②配方明细!$A:$A,$A24,②配方明细!$L:$L),1)</f>
        <v>14.2</v>
      </c>
      <c r="G24" s="26" t="n">
        <f aca="false">ROUND(SUMIF(②配方明细!$A:$A,$A24,②配方明细!$M:$M),1)</f>
        <v>5.4</v>
      </c>
      <c r="H24" s="26" t="n">
        <f aca="false">IFERROR(ROUND(D24/C24,0),0)</f>
        <v>69</v>
      </c>
      <c r="I24" s="26" t="n">
        <f aca="false">IFERROR(ROUND(E24/C24,1),0)</f>
        <v>5.6</v>
      </c>
      <c r="J24" s="26" t="n">
        <f aca="false">IFERROR(ROUND(F24/C24,1),0)</f>
        <v>7.1</v>
      </c>
      <c r="K24" s="26" t="n">
        <f aca="false">IFERROR(ROUND(G24/C24,1),0)</f>
        <v>2.7</v>
      </c>
      <c r="L24" s="11"/>
    </row>
    <row r="25" customFormat="false" ht="15" hidden="false" customHeight="true" outlineLevel="0" collapsed="false">
      <c r="A25" s="11" t="s">
        <v>284</v>
      </c>
      <c r="B25" s="11" t="s">
        <v>280</v>
      </c>
      <c r="C25" s="12" t="n">
        <v>4</v>
      </c>
      <c r="D25" s="26" t="n">
        <f aca="false">SUMIF(②配方明细!$A:$A,$A25,②配方明细!$J:$J)</f>
        <v>510</v>
      </c>
      <c r="E25" s="26" t="n">
        <f aca="false">ROUND(SUMIF(②配方明细!$A:$A,$A25,②配方明细!$K:$K),1)</f>
        <v>64.8</v>
      </c>
      <c r="F25" s="26" t="n">
        <f aca="false">ROUND(SUMIF(②配方明细!$A:$A,$A25,②配方明细!$L:$L),1)</f>
        <v>12</v>
      </c>
      <c r="G25" s="26" t="n">
        <f aca="false">ROUND(SUMIF(②配方明细!$A:$A,$A25,②配方明细!$M:$M),1)</f>
        <v>21.3</v>
      </c>
      <c r="H25" s="26" t="n">
        <f aca="false">IFERROR(ROUND(D25/C25,0),0)</f>
        <v>128</v>
      </c>
      <c r="I25" s="26" t="n">
        <f aca="false">IFERROR(ROUND(E25/C25,1),0)</f>
        <v>16.2</v>
      </c>
      <c r="J25" s="26" t="n">
        <f aca="false">IFERROR(ROUND(F25/C25,1),0)</f>
        <v>3</v>
      </c>
      <c r="K25" s="26" t="n">
        <f aca="false">IFERROR(ROUND(G25/C25,1),0)</f>
        <v>5.3</v>
      </c>
      <c r="L25" s="11"/>
    </row>
    <row r="26" customFormat="false" ht="15" hidden="false" customHeight="true" outlineLevel="0" collapsed="false">
      <c r="A26" s="11" t="s">
        <v>285</v>
      </c>
      <c r="B26" s="11" t="s">
        <v>280</v>
      </c>
      <c r="C26" s="12" t="n">
        <v>3</v>
      </c>
      <c r="D26" s="26" t="n">
        <f aca="false">SUMIF(②配方明细!$A:$A,$A26,②配方明细!$J:$J)</f>
        <v>494</v>
      </c>
      <c r="E26" s="26" t="n">
        <f aca="false">ROUND(SUMIF(②配方明细!$A:$A,$A26,②配方明细!$K:$K),1)</f>
        <v>61.6</v>
      </c>
      <c r="F26" s="26" t="n">
        <f aca="false">ROUND(SUMIF(②配方明细!$A:$A,$A26,②配方明细!$L:$L),1)</f>
        <v>10</v>
      </c>
      <c r="G26" s="26" t="n">
        <f aca="false">ROUND(SUMIF(②配方明细!$A:$A,$A26,②配方明细!$M:$M),1)</f>
        <v>23.5</v>
      </c>
      <c r="H26" s="26" t="n">
        <f aca="false">IFERROR(ROUND(D26/C26,0),0)</f>
        <v>165</v>
      </c>
      <c r="I26" s="26" t="n">
        <f aca="false">IFERROR(ROUND(E26/C26,1),0)</f>
        <v>20.5</v>
      </c>
      <c r="J26" s="26" t="n">
        <f aca="false">IFERROR(ROUND(F26/C26,1),0)</f>
        <v>3.3</v>
      </c>
      <c r="K26" s="26" t="n">
        <f aca="false">IFERROR(ROUND(G26/C26,1),0)</f>
        <v>7.8</v>
      </c>
      <c r="L26" s="11"/>
    </row>
    <row r="27" customFormat="false" ht="15" hidden="false" customHeight="true" outlineLevel="0" collapsed="false">
      <c r="A27" s="10" t="s">
        <v>287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customFormat="false" ht="15" hidden="false" customHeight="true" outlineLevel="0" collapsed="false">
      <c r="A28" s="11" t="s">
        <v>286</v>
      </c>
      <c r="B28" s="11" t="s">
        <v>287</v>
      </c>
      <c r="C28" s="12" t="n">
        <v>2</v>
      </c>
      <c r="D28" s="26" t="n">
        <f aca="false">SUMIF(②配方明细!$A:$A,$A28,②配方明细!$J:$J)</f>
        <v>390</v>
      </c>
      <c r="E28" s="26" t="n">
        <f aca="false">ROUND(SUMIF(②配方明细!$A:$A,$A28,②配方明细!$K:$K),1)</f>
        <v>8.1</v>
      </c>
      <c r="F28" s="26" t="n">
        <f aca="false">ROUND(SUMIF(②配方明细!$A:$A,$A28,②配方明细!$L:$L),1)</f>
        <v>84</v>
      </c>
      <c r="G28" s="26" t="n">
        <f aca="false">ROUND(SUMIF(②配方明细!$A:$A,$A28,②配方明细!$M:$M),1)</f>
        <v>0.9</v>
      </c>
      <c r="H28" s="26" t="n">
        <f aca="false">IFERROR(ROUND(D28/C28,0),0)</f>
        <v>195</v>
      </c>
      <c r="I28" s="26" t="n">
        <f aca="false">IFERROR(ROUND(E28/C28,1),0)</f>
        <v>4.1</v>
      </c>
      <c r="J28" s="26" t="n">
        <f aca="false">IFERROR(ROUND(F28/C28,1),0)</f>
        <v>42</v>
      </c>
      <c r="K28" s="26" t="n">
        <f aca="false">IFERROR(ROUND(G28/C28,1),0)</f>
        <v>0.5</v>
      </c>
      <c r="L28" s="11" t="s">
        <v>370</v>
      </c>
    </row>
    <row r="29" customFormat="false" ht="15" hidden="false" customHeight="true" outlineLevel="0" collapsed="false">
      <c r="A29" s="11" t="s">
        <v>289</v>
      </c>
      <c r="B29" s="11" t="s">
        <v>287</v>
      </c>
      <c r="C29" s="12" t="n">
        <v>1</v>
      </c>
      <c r="D29" s="26" t="n">
        <f aca="false">SUMIF(②配方明细!$A:$A,$A29,②配方明细!$J:$J)</f>
        <v>225</v>
      </c>
      <c r="E29" s="26" t="n">
        <f aca="false">ROUND(SUMIF(②配方明细!$A:$A,$A29,②配方明细!$K:$K),1)</f>
        <v>5</v>
      </c>
      <c r="F29" s="26" t="n">
        <f aca="false">ROUND(SUMIF(②配方明细!$A:$A,$A29,②配方明细!$L:$L),1)</f>
        <v>52.5</v>
      </c>
      <c r="G29" s="26" t="n">
        <f aca="false">ROUND(SUMIF(②配方明细!$A:$A,$A29,②配方明细!$M:$M),1)</f>
        <v>0.3</v>
      </c>
      <c r="H29" s="26" t="n">
        <f aca="false">IFERROR(ROUND(D29/C29,0),0)</f>
        <v>225</v>
      </c>
      <c r="I29" s="26" t="n">
        <f aca="false">IFERROR(ROUND(E29/C29,1),0)</f>
        <v>5</v>
      </c>
      <c r="J29" s="26" t="n">
        <f aca="false">IFERROR(ROUND(F29/C29,1),0)</f>
        <v>52.5</v>
      </c>
      <c r="K29" s="26" t="n">
        <f aca="false">IFERROR(ROUND(G29/C29,1),0)</f>
        <v>0.3</v>
      </c>
      <c r="L29" s="11"/>
    </row>
    <row r="30" customFormat="false" ht="15" hidden="false" customHeight="true" outlineLevel="0" collapsed="false">
      <c r="A30" s="11" t="s">
        <v>290</v>
      </c>
      <c r="B30" s="11" t="s">
        <v>287</v>
      </c>
      <c r="C30" s="12" t="n">
        <v>1</v>
      </c>
      <c r="D30" s="26" t="n">
        <f aca="false">SUMIF(②配方明细!$A:$A,$A30,②配方明细!$J:$J)</f>
        <v>252</v>
      </c>
      <c r="E30" s="26" t="n">
        <f aca="false">ROUND(SUMIF(②配方明细!$A:$A,$A30,②配方明细!$K:$K),1)</f>
        <v>12</v>
      </c>
      <c r="F30" s="26" t="n">
        <f aca="false">ROUND(SUMIF(②配方明细!$A:$A,$A30,②配方明细!$L:$L),1)</f>
        <v>36.4</v>
      </c>
      <c r="G30" s="26" t="n">
        <f aca="false">ROUND(SUMIF(②配方明细!$A:$A,$A30,②配方明细!$M:$M),1)</f>
        <v>6.8</v>
      </c>
      <c r="H30" s="26" t="n">
        <f aca="false">IFERROR(ROUND(D30/C30,0),0)</f>
        <v>252</v>
      </c>
      <c r="I30" s="26" t="n">
        <f aca="false">IFERROR(ROUND(E30/C30,1),0)</f>
        <v>12</v>
      </c>
      <c r="J30" s="26" t="n">
        <f aca="false">IFERROR(ROUND(F30/C30,1),0)</f>
        <v>36.4</v>
      </c>
      <c r="K30" s="26" t="n">
        <f aca="false">IFERROR(ROUND(G30/C30,1),0)</f>
        <v>6.8</v>
      </c>
      <c r="L30" s="11"/>
    </row>
    <row r="31" customFormat="false" ht="15" hidden="false" customHeight="true" outlineLevel="0" collapsed="false">
      <c r="A31" s="11" t="s">
        <v>292</v>
      </c>
      <c r="B31" s="11" t="s">
        <v>287</v>
      </c>
      <c r="C31" s="12" t="n">
        <v>1</v>
      </c>
      <c r="D31" s="26" t="n">
        <f aca="false">SUMIF(②配方明细!$A:$A,$A31,②配方明细!$J:$J)</f>
        <v>528</v>
      </c>
      <c r="E31" s="26" t="n">
        <f aca="false">ROUND(SUMIF(②配方明细!$A:$A,$A31,②配方明细!$K:$K),1)</f>
        <v>38</v>
      </c>
      <c r="F31" s="26" t="n">
        <f aca="false">ROUND(SUMIF(②配方明细!$A:$A,$A31,②配方明细!$L:$L),1)</f>
        <v>65</v>
      </c>
      <c r="G31" s="26" t="n">
        <f aca="false">ROUND(SUMIF(②配方明细!$A:$A,$A31,②配方明细!$M:$M),1)</f>
        <v>11.2</v>
      </c>
      <c r="H31" s="26" t="n">
        <f aca="false">IFERROR(ROUND(D31/C31,0),0)</f>
        <v>528</v>
      </c>
      <c r="I31" s="26" t="n">
        <f aca="false">IFERROR(ROUND(E31/C31,1),0)</f>
        <v>38</v>
      </c>
      <c r="J31" s="26" t="n">
        <f aca="false">IFERROR(ROUND(F31/C31,1),0)</f>
        <v>65</v>
      </c>
      <c r="K31" s="26" t="n">
        <f aca="false">IFERROR(ROUND(G31/C31,1),0)</f>
        <v>11.2</v>
      </c>
      <c r="L31" s="11"/>
    </row>
    <row r="32" customFormat="false" ht="15" hidden="false" customHeight="true" outlineLevel="0" collapsed="false">
      <c r="A32" s="11" t="s">
        <v>293</v>
      </c>
      <c r="B32" s="11" t="s">
        <v>287</v>
      </c>
      <c r="C32" s="12" t="n">
        <v>1</v>
      </c>
      <c r="D32" s="26" t="n">
        <f aca="false">SUMIF(②配方明细!$A:$A,$A32,②配方明细!$J:$J)</f>
        <v>465</v>
      </c>
      <c r="E32" s="26" t="n">
        <f aca="false">ROUND(SUMIF(②配方明细!$A:$A,$A32,②配方明细!$K:$K),1)</f>
        <v>36.7</v>
      </c>
      <c r="F32" s="26" t="n">
        <f aca="false">ROUND(SUMIF(②配方明细!$A:$A,$A32,②配方明细!$L:$L),1)</f>
        <v>62</v>
      </c>
      <c r="G32" s="26" t="n">
        <f aca="false">ROUND(SUMIF(②配方明细!$A:$A,$A32,②配方明细!$M:$M),1)</f>
        <v>6.7</v>
      </c>
      <c r="H32" s="26" t="n">
        <f aca="false">IFERROR(ROUND(D32/C32,0),0)</f>
        <v>465</v>
      </c>
      <c r="I32" s="26" t="n">
        <f aca="false">IFERROR(ROUND(E32/C32,1),0)</f>
        <v>36.7</v>
      </c>
      <c r="J32" s="26" t="n">
        <f aca="false">IFERROR(ROUND(F32/C32,1),0)</f>
        <v>62</v>
      </c>
      <c r="K32" s="26" t="n">
        <f aca="false">IFERROR(ROUND(G32/C32,1),0)</f>
        <v>6.7</v>
      </c>
      <c r="L32" s="11" t="s">
        <v>371</v>
      </c>
    </row>
    <row r="33" customFormat="false" ht="15" hidden="false" customHeight="true" outlineLevel="0" collapsed="false">
      <c r="A33" s="11" t="s">
        <v>294</v>
      </c>
      <c r="B33" s="11" t="s">
        <v>287</v>
      </c>
      <c r="C33" s="12" t="n">
        <v>1</v>
      </c>
      <c r="D33" s="26" t="n">
        <f aca="false">SUMIF(②配方明细!$A:$A,$A33,②配方明细!$J:$J)</f>
        <v>295</v>
      </c>
      <c r="E33" s="26" t="n">
        <f aca="false">ROUND(SUMIF(②配方明细!$A:$A,$A33,②配方明细!$K:$K),1)</f>
        <v>7.7</v>
      </c>
      <c r="F33" s="26" t="n">
        <f aca="false">ROUND(SUMIF(②配方明细!$A:$A,$A33,②配方明细!$L:$L),1)</f>
        <v>66</v>
      </c>
      <c r="G33" s="26" t="n">
        <f aca="false">ROUND(SUMIF(②配方明细!$A:$A,$A33,②配方明细!$M:$M),1)</f>
        <v>0.7</v>
      </c>
      <c r="H33" s="26" t="n">
        <f aca="false">IFERROR(ROUND(D33/C33,0),0)</f>
        <v>295</v>
      </c>
      <c r="I33" s="26" t="n">
        <f aca="false">IFERROR(ROUND(E33/C33,1),0)</f>
        <v>7.7</v>
      </c>
      <c r="J33" s="26" t="n">
        <f aca="false">IFERROR(ROUND(F33/C33,1),0)</f>
        <v>66</v>
      </c>
      <c r="K33" s="26" t="n">
        <f aca="false">IFERROR(ROUND(G33/C33,1),0)</f>
        <v>0.7</v>
      </c>
      <c r="L33" s="11"/>
    </row>
    <row r="34" customFormat="false" ht="15" hidden="false" customHeight="true" outlineLevel="0" collapsed="false">
      <c r="A34" s="10" t="s">
        <v>296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customFormat="false" ht="15" hidden="false" customHeight="true" outlineLevel="0" collapsed="false">
      <c r="A35" s="11" t="s">
        <v>295</v>
      </c>
      <c r="B35" s="11" t="s">
        <v>296</v>
      </c>
      <c r="C35" s="12" t="n">
        <v>1</v>
      </c>
      <c r="D35" s="26" t="n">
        <f aca="false">SUMIF(②配方明细!$A:$A,$A35,②配方明细!$J:$J)</f>
        <v>257</v>
      </c>
      <c r="E35" s="26" t="n">
        <f aca="false">ROUND(SUMIF(②配方明细!$A:$A,$A35,②配方明细!$K:$K),1)</f>
        <v>38.9</v>
      </c>
      <c r="F35" s="26" t="n">
        <f aca="false">ROUND(SUMIF(②配方明细!$A:$A,$A35,②配方明细!$L:$L),1)</f>
        <v>15</v>
      </c>
      <c r="G35" s="26" t="n">
        <f aca="false">ROUND(SUMIF(②配方明细!$A:$A,$A35,②配方明细!$M:$M),1)</f>
        <v>4.6</v>
      </c>
      <c r="H35" s="26" t="n">
        <f aca="false">IFERROR(ROUND(D35/C35,0),0)</f>
        <v>257</v>
      </c>
      <c r="I35" s="26" t="n">
        <f aca="false">IFERROR(ROUND(E35/C35,1),0)</f>
        <v>38.9</v>
      </c>
      <c r="J35" s="26" t="n">
        <f aca="false">IFERROR(ROUND(F35/C35,1),0)</f>
        <v>15</v>
      </c>
      <c r="K35" s="26" t="n">
        <f aca="false">IFERROR(ROUND(G35/C35,1),0)</f>
        <v>4.6</v>
      </c>
      <c r="L35" s="11" t="s">
        <v>372</v>
      </c>
    </row>
    <row r="36" customFormat="false" ht="15" hidden="false" customHeight="true" outlineLevel="0" collapsed="false">
      <c r="A36" s="11" t="s">
        <v>298</v>
      </c>
      <c r="B36" s="11" t="s">
        <v>296</v>
      </c>
      <c r="C36" s="12" t="n">
        <v>1</v>
      </c>
      <c r="D36" s="26" t="n">
        <f aca="false">SUMIF(②配方明细!$A:$A,$A36,②配方明细!$J:$J)</f>
        <v>346</v>
      </c>
      <c r="E36" s="26" t="n">
        <f aca="false">ROUND(SUMIF(②配方明细!$A:$A,$A36,②配方明细!$K:$K),1)</f>
        <v>28.3</v>
      </c>
      <c r="F36" s="26" t="n">
        <f aca="false">ROUND(SUMIF(②配方明细!$A:$A,$A36,②配方明细!$L:$L),1)</f>
        <v>33.2</v>
      </c>
      <c r="G36" s="26" t="n">
        <f aca="false">ROUND(SUMIF(②配方明细!$A:$A,$A36,②配方明细!$M:$M),1)</f>
        <v>12.5</v>
      </c>
      <c r="H36" s="26" t="n">
        <f aca="false">IFERROR(ROUND(D36/C36,0),0)</f>
        <v>346</v>
      </c>
      <c r="I36" s="26" t="n">
        <f aca="false">IFERROR(ROUND(E36/C36,1),0)</f>
        <v>28.3</v>
      </c>
      <c r="J36" s="26" t="n">
        <f aca="false">IFERROR(ROUND(F36/C36,1),0)</f>
        <v>33.2</v>
      </c>
      <c r="K36" s="26" t="n">
        <f aca="false">IFERROR(ROUND(G36/C36,1),0)</f>
        <v>12.5</v>
      </c>
      <c r="L36" s="11" t="s">
        <v>373</v>
      </c>
    </row>
    <row r="37" customFormat="false" ht="15" hidden="false" customHeight="true" outlineLevel="0" collapsed="false">
      <c r="A37" s="33" t="s">
        <v>301</v>
      </c>
      <c r="B37" s="11" t="s">
        <v>296</v>
      </c>
      <c r="C37" s="12" t="n">
        <v>2</v>
      </c>
      <c r="D37" s="26" t="n">
        <f aca="false">SUMIF(②配方明细!$A:$A,$A37,②配方明细!$J:$J)</f>
        <v>495</v>
      </c>
      <c r="E37" s="26" t="n">
        <f aca="false">ROUND(SUMIF(②配方明细!$A:$A,$A37,②配方明细!$K:$K),1)</f>
        <v>34.5</v>
      </c>
      <c r="F37" s="26" t="n">
        <f aca="false">ROUND(SUMIF(②配方明细!$A:$A,$A37,②配方明细!$L:$L),1)</f>
        <v>82.3</v>
      </c>
      <c r="G37" s="26" t="n">
        <f aca="false">ROUND(SUMIF(②配方明细!$A:$A,$A37,②配方明细!$M:$M),1)</f>
        <v>2.3</v>
      </c>
      <c r="H37" s="26" t="n">
        <f aca="false">IFERROR(ROUND(D37/C37,0),0)</f>
        <v>248</v>
      </c>
      <c r="I37" s="26" t="n">
        <f aca="false">IFERROR(ROUND(E37/C37,1),0)</f>
        <v>17.3</v>
      </c>
      <c r="J37" s="26" t="n">
        <f aca="false">IFERROR(ROUND(F37/C37,1),0)</f>
        <v>41.2</v>
      </c>
      <c r="K37" s="26" t="n">
        <f aca="false">IFERROR(ROUND(G37/C37,1),0)</f>
        <v>1.2</v>
      </c>
      <c r="L37" s="11"/>
    </row>
    <row r="38" customFormat="false" ht="15" hidden="false" customHeight="true" outlineLevel="0" collapsed="false">
      <c r="A38" s="11" t="s">
        <v>303</v>
      </c>
      <c r="B38" s="11" t="s">
        <v>296</v>
      </c>
      <c r="C38" s="12" t="n">
        <v>1</v>
      </c>
      <c r="D38" s="26" t="n">
        <f aca="false">SUMIF(②配方明细!$A:$A,$A38,②配方明细!$J:$J)</f>
        <v>354</v>
      </c>
      <c r="E38" s="26" t="n">
        <f aca="false">ROUND(SUMIF(②配方明细!$A:$A,$A38,②配方明细!$K:$K),1)</f>
        <v>14.1</v>
      </c>
      <c r="F38" s="26" t="n">
        <f aca="false">ROUND(SUMIF(②配方明细!$A:$A,$A38,②配方明细!$L:$L),1)</f>
        <v>58.2</v>
      </c>
      <c r="G38" s="26" t="n">
        <f aca="false">ROUND(SUMIF(②配方明细!$A:$A,$A38,②配方明细!$M:$M),1)</f>
        <v>6</v>
      </c>
      <c r="H38" s="26" t="n">
        <f aca="false">IFERROR(ROUND(D38/C38,0),0)</f>
        <v>354</v>
      </c>
      <c r="I38" s="26" t="n">
        <f aca="false">IFERROR(ROUND(E38/C38,1),0)</f>
        <v>14.1</v>
      </c>
      <c r="J38" s="26" t="n">
        <f aca="false">IFERROR(ROUND(F38/C38,1),0)</f>
        <v>58.2</v>
      </c>
      <c r="K38" s="26" t="n">
        <f aca="false">IFERROR(ROUND(G38/C38,1),0)</f>
        <v>6</v>
      </c>
      <c r="L38" s="11"/>
    </row>
    <row r="39" customFormat="false" ht="15" hidden="false" customHeight="true" outlineLevel="0" collapsed="false">
      <c r="A39" s="11" t="s">
        <v>304</v>
      </c>
      <c r="B39" s="11" t="s">
        <v>296</v>
      </c>
      <c r="C39" s="12" t="n">
        <v>1</v>
      </c>
      <c r="D39" s="26" t="n">
        <f aca="false">SUMIF(②配方明细!$A:$A,$A39,②配方明细!$J:$J)</f>
        <v>238</v>
      </c>
      <c r="E39" s="26" t="n">
        <f aca="false">ROUND(SUMIF(②配方明细!$A:$A,$A39,②配方明细!$K:$K),1)</f>
        <v>15.4</v>
      </c>
      <c r="F39" s="26" t="n">
        <f aca="false">ROUND(SUMIF(②配方明细!$A:$A,$A39,②配方明细!$L:$L),1)</f>
        <v>14.6</v>
      </c>
      <c r="G39" s="26" t="n">
        <f aca="false">ROUND(SUMIF(②配方明细!$A:$A,$A39,②配方明细!$M:$M),1)</f>
        <v>13.3</v>
      </c>
      <c r="H39" s="26" t="n">
        <f aca="false">IFERROR(ROUND(D39/C39,0),0)</f>
        <v>238</v>
      </c>
      <c r="I39" s="26" t="n">
        <f aca="false">IFERROR(ROUND(E39/C39,1),0)</f>
        <v>15.4</v>
      </c>
      <c r="J39" s="26" t="n">
        <f aca="false">IFERROR(ROUND(F39/C39,1),0)</f>
        <v>14.6</v>
      </c>
      <c r="K39" s="26" t="n">
        <f aca="false">IFERROR(ROUND(G39/C39,1),0)</f>
        <v>13.3</v>
      </c>
      <c r="L39" s="11"/>
    </row>
    <row r="40" customFormat="false" ht="15" hidden="false" customHeight="true" outlineLevel="0" collapsed="false">
      <c r="A40" s="34" t="s">
        <v>374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</row>
    <row r="41" customFormat="false" ht="15" hidden="false" customHeight="true" outlineLevel="0" collapsed="false">
      <c r="A41" s="11" t="s">
        <v>306</v>
      </c>
      <c r="B41" s="33" t="s">
        <v>307</v>
      </c>
      <c r="C41" s="12" t="n">
        <v>1</v>
      </c>
      <c r="D41" s="26" t="n">
        <f aca="false">SUMIF(②配方明细!$A:$A,$A41,②配方明细!$J:$J)</f>
        <v>144</v>
      </c>
      <c r="E41" s="26" t="n">
        <f aca="false">ROUND(SUMIF(②配方明细!$A:$A,$A41,②配方明细!$K:$K),1)</f>
        <v>12.6</v>
      </c>
      <c r="F41" s="26" t="n">
        <f aca="false">ROUND(SUMIF(②配方明细!$A:$A,$A41,②配方明细!$L:$L),1)</f>
        <v>0.8</v>
      </c>
      <c r="G41" s="26" t="n">
        <f aca="false">ROUND(SUMIF(②配方明细!$A:$A,$A41,②配方明细!$M:$M),1)</f>
        <v>9.6</v>
      </c>
      <c r="H41" s="26" t="n">
        <f aca="false">IFERROR(ROUND(D41/C41,0),0)</f>
        <v>144</v>
      </c>
      <c r="I41" s="26" t="n">
        <f aca="false">IFERROR(ROUND(E41/C41,1),0)</f>
        <v>12.6</v>
      </c>
      <c r="J41" s="26" t="n">
        <f aca="false">IFERROR(ROUND(F41/C41,1),0)</f>
        <v>0.8</v>
      </c>
      <c r="K41" s="26" t="n">
        <f aca="false">IFERROR(ROUND(G41/C41,1),0)</f>
        <v>9.6</v>
      </c>
      <c r="L41" s="11"/>
    </row>
    <row r="42" customFormat="false" ht="15" hidden="false" customHeight="true" outlineLevel="0" collapsed="false">
      <c r="A42" s="11" t="s">
        <v>308</v>
      </c>
      <c r="B42" s="33" t="s">
        <v>307</v>
      </c>
      <c r="C42" s="12" t="n">
        <v>1</v>
      </c>
      <c r="D42" s="26" t="n">
        <f aca="false">SUMIF(②配方明细!$A:$A,$A42,②配方明细!$J:$J)</f>
        <v>207</v>
      </c>
      <c r="E42" s="26" t="n">
        <f aca="false">ROUND(SUMIF(②配方明细!$A:$A,$A42,②配方明细!$K:$K),1)</f>
        <v>21.1</v>
      </c>
      <c r="F42" s="26" t="n">
        <f aca="false">ROUND(SUMIF(②配方明细!$A:$A,$A42,②配方明细!$L:$L),1)</f>
        <v>30.2</v>
      </c>
      <c r="G42" s="26" t="n">
        <f aca="false">ROUND(SUMIF(②配方明细!$A:$A,$A42,②配方明细!$M:$M),1)</f>
        <v>0.3</v>
      </c>
      <c r="H42" s="26" t="n">
        <f aca="false">IFERROR(ROUND(D42/C42,0),0)</f>
        <v>207</v>
      </c>
      <c r="I42" s="26" t="n">
        <f aca="false">IFERROR(ROUND(E42/C42,1),0)</f>
        <v>21.1</v>
      </c>
      <c r="J42" s="26" t="n">
        <f aca="false">IFERROR(ROUND(F42/C42,1),0)</f>
        <v>30.2</v>
      </c>
      <c r="K42" s="26" t="n">
        <f aca="false">IFERROR(ROUND(G42/C42,1),0)</f>
        <v>0.3</v>
      </c>
      <c r="L42" s="11"/>
    </row>
    <row r="43" customFormat="false" ht="15" hidden="false" customHeight="true" outlineLevel="0" collapsed="false">
      <c r="A43" s="11" t="s">
        <v>309</v>
      </c>
      <c r="B43" s="33" t="s">
        <v>307</v>
      </c>
      <c r="C43" s="12" t="n">
        <v>1</v>
      </c>
      <c r="D43" s="26" t="n">
        <f aca="false">SUMIF(②配方明细!$A:$A,$A43,②配方明细!$J:$J)</f>
        <v>90</v>
      </c>
      <c r="E43" s="26" t="n">
        <f aca="false">ROUND(SUMIF(②配方明细!$A:$A,$A43,②配方明细!$K:$K),1)</f>
        <v>3</v>
      </c>
      <c r="F43" s="26" t="n">
        <f aca="false">ROUND(SUMIF(②配方明细!$A:$A,$A43,②配方明细!$L:$L),1)</f>
        <v>3</v>
      </c>
      <c r="G43" s="26" t="n">
        <f aca="false">ROUND(SUMIF(②配方明细!$A:$A,$A43,②配方明细!$M:$M),1)</f>
        <v>7.5</v>
      </c>
      <c r="H43" s="26" t="n">
        <f aca="false">IFERROR(ROUND(D43/C43,0),0)</f>
        <v>90</v>
      </c>
      <c r="I43" s="26" t="n">
        <f aca="false">IFERROR(ROUND(E43/C43,1),0)</f>
        <v>3</v>
      </c>
      <c r="J43" s="26" t="n">
        <f aca="false">IFERROR(ROUND(F43/C43,1),0)</f>
        <v>3</v>
      </c>
      <c r="K43" s="26" t="n">
        <f aca="false">IFERROR(ROUND(G43/C43,1),0)</f>
        <v>7.5</v>
      </c>
      <c r="L43" s="11"/>
    </row>
    <row r="44" customFormat="false" ht="15" hidden="false" customHeight="true" outlineLevel="0" collapsed="false">
      <c r="A44" s="11" t="s">
        <v>310</v>
      </c>
      <c r="B44" s="33" t="s">
        <v>307</v>
      </c>
      <c r="C44" s="12" t="n">
        <v>1</v>
      </c>
      <c r="D44" s="26" t="n">
        <f aca="false">SUMIF(②配方明细!$A:$A,$A44,②配方明细!$J:$J)</f>
        <v>120</v>
      </c>
      <c r="E44" s="26" t="n">
        <f aca="false">ROUND(SUMIF(②配方明细!$A:$A,$A44,②配方明细!$K:$K),1)</f>
        <v>1.6</v>
      </c>
      <c r="F44" s="26" t="n">
        <f aca="false">ROUND(SUMIF(②配方明细!$A:$A,$A44,②配方明细!$L:$L),1)</f>
        <v>6</v>
      </c>
      <c r="G44" s="26" t="n">
        <f aca="false">ROUND(SUMIF(②配方明细!$A:$A,$A44,②配方明细!$M:$M),1)</f>
        <v>10</v>
      </c>
      <c r="H44" s="26" t="n">
        <f aca="false">IFERROR(ROUND(D44/C44,0),0)</f>
        <v>120</v>
      </c>
      <c r="I44" s="26" t="n">
        <f aca="false">IFERROR(ROUND(E44/C44,1),0)</f>
        <v>1.6</v>
      </c>
      <c r="J44" s="26" t="n">
        <f aca="false">IFERROR(ROUND(F44/C44,1),0)</f>
        <v>6</v>
      </c>
      <c r="K44" s="26" t="n">
        <f aca="false">IFERROR(ROUND(G44/C44,1),0)</f>
        <v>10</v>
      </c>
      <c r="L44" s="11"/>
    </row>
    <row r="45" customFormat="false" ht="15" hidden="false" customHeight="true" outlineLevel="0" collapsed="false">
      <c r="A45" s="35" t="s">
        <v>203</v>
      </c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</row>
    <row r="46" customFormat="false" ht="15" hidden="false" customHeight="true" outlineLevel="0" collapsed="false">
      <c r="A46" s="16" t="s">
        <v>204</v>
      </c>
      <c r="B46" s="11" t="s">
        <v>296</v>
      </c>
      <c r="C46" s="17" t="n">
        <v>1</v>
      </c>
      <c r="D46" s="32" t="n">
        <f aca="false">SUMIF(②配方明细!$A:$A,$A46,②配方明细!$J:$J)</f>
        <v>285</v>
      </c>
      <c r="E46" s="32" t="n">
        <f aca="false">ROUND(SUMIF(②配方明细!$A:$A,$A46,②配方明细!$K:$K),1)</f>
        <v>10.5</v>
      </c>
      <c r="F46" s="32" t="n">
        <f aca="false">ROUND(SUMIF(②配方明细!$A:$A,$A46,②配方明细!$L:$L),1)</f>
        <v>56</v>
      </c>
      <c r="G46" s="32" t="n">
        <f aca="false">ROUND(SUMIF(②配方明细!$A:$A,$A46,②配方明细!$M:$M),1)</f>
        <v>3.8</v>
      </c>
      <c r="H46" s="32" t="n">
        <f aca="false">IFERROR(ROUND(D46/C46,0),0)</f>
        <v>285</v>
      </c>
      <c r="I46" s="32" t="n">
        <f aca="false">IFERROR(ROUND(E46/C46,1),0)</f>
        <v>10.5</v>
      </c>
      <c r="J46" s="32" t="n">
        <f aca="false">IFERROR(ROUND(F46/C46,1),0)</f>
        <v>56</v>
      </c>
      <c r="K46" s="32" t="n">
        <f aca="false">IFERROR(ROUND(G46/C46,1),0)</f>
        <v>3.8</v>
      </c>
      <c r="L46" s="11" t="s">
        <v>211</v>
      </c>
    </row>
    <row r="47" customFormat="false" ht="15" hidden="false" customHeight="true" outlineLevel="0" collapsed="false">
      <c r="A47" s="16" t="s">
        <v>312</v>
      </c>
      <c r="B47" s="16" t="s">
        <v>307</v>
      </c>
      <c r="C47" s="17" t="n">
        <v>1</v>
      </c>
      <c r="D47" s="32" t="n">
        <f aca="false">SUMIF(②配方明细!$A:$A,$A47,②配方明细!$J:$J)</f>
        <v>170</v>
      </c>
      <c r="E47" s="32" t="n">
        <f aca="false">ROUND(SUMIF(②配方明细!$A:$A,$A47,②配方明细!$K:$K),1)</f>
        <v>2</v>
      </c>
      <c r="F47" s="32" t="n">
        <f aca="false">ROUND(SUMIF(②配方明细!$A:$A,$A47,②配方明细!$L:$L),1)</f>
        <v>23</v>
      </c>
      <c r="G47" s="32" t="n">
        <f aca="false">ROUND(SUMIF(②配方明细!$A:$A,$A47,②配方明细!$M:$M),1)</f>
        <v>7</v>
      </c>
      <c r="H47" s="32" t="n">
        <f aca="false">IFERROR(ROUND(D47/C47,0),0)</f>
        <v>170</v>
      </c>
      <c r="I47" s="32" t="n">
        <f aca="false">IFERROR(ROUND(E47/C47,1),0)</f>
        <v>2</v>
      </c>
      <c r="J47" s="32" t="n">
        <f aca="false">IFERROR(ROUND(F47/C47,1),0)</f>
        <v>23</v>
      </c>
      <c r="K47" s="32" t="n">
        <f aca="false">IFERROR(ROUND(G47/C47,1),0)</f>
        <v>7</v>
      </c>
      <c r="L47" s="16" t="s">
        <v>375</v>
      </c>
    </row>
    <row r="48" customFormat="false" ht="15" hidden="false" customHeight="true" outlineLevel="0" collapsed="false">
      <c r="A48" s="11" t="s">
        <v>314</v>
      </c>
      <c r="B48" s="11" t="s">
        <v>296</v>
      </c>
      <c r="C48" s="17" t="n">
        <v>1</v>
      </c>
      <c r="D48" s="32" t="n">
        <f aca="false">SUMIF(②配方明细!$A:$A,$A48,②配方明细!$J:$J)</f>
        <v>513</v>
      </c>
      <c r="E48" s="32" t="n">
        <f aca="false">ROUND(SUMIF(②配方明细!$A:$A,$A48,②配方明细!$K:$K),1)</f>
        <v>30.4</v>
      </c>
      <c r="F48" s="32" t="n">
        <f aca="false">ROUND(SUMIF(②配方明细!$A:$A,$A48,②配方明细!$L:$L),1)</f>
        <v>74.9</v>
      </c>
      <c r="G48" s="32" t="n">
        <f aca="false">ROUND(SUMIF(②配方明细!$A:$A,$A48,②配方明细!$M:$M),1)</f>
        <v>10.4</v>
      </c>
      <c r="H48" s="32" t="n">
        <f aca="false">IFERROR(ROUND(D48/C48,0),0)</f>
        <v>513</v>
      </c>
      <c r="I48" s="32" t="n">
        <f aca="false">IFERROR(ROUND(E48/C48,1),0)</f>
        <v>30.4</v>
      </c>
      <c r="J48" s="32" t="n">
        <f aca="false">IFERROR(ROUND(F48/C48,1),0)</f>
        <v>74.9</v>
      </c>
      <c r="K48" s="32" t="n">
        <f aca="false">IFERROR(ROUND(G48/C48,1),0)</f>
        <v>10.4</v>
      </c>
      <c r="L48" s="16" t="s">
        <v>376</v>
      </c>
    </row>
    <row r="49" customFormat="false" ht="15" hidden="false" customHeight="true" outlineLevel="0" collapsed="false">
      <c r="A49" s="11" t="s">
        <v>321</v>
      </c>
      <c r="B49" s="11" t="s">
        <v>296</v>
      </c>
      <c r="C49" s="17" t="n">
        <v>1</v>
      </c>
      <c r="D49" s="32" t="n">
        <f aca="false">SUMIF(②配方明细!$A:$A,$A49,②配方明细!$J:$J)</f>
        <v>175</v>
      </c>
      <c r="E49" s="32" t="n">
        <f aca="false">ROUND(SUMIF(②配方明细!$A:$A,$A49,②配方明细!$K:$K),1)</f>
        <v>18.3</v>
      </c>
      <c r="F49" s="32" t="n">
        <f aca="false">ROUND(SUMIF(②配方明细!$A:$A,$A49,②配方明细!$L:$L),1)</f>
        <v>19.8</v>
      </c>
      <c r="G49" s="32" t="n">
        <f aca="false">ROUND(SUMIF(②配方明细!$A:$A,$A49,②配方明细!$M:$M),1)</f>
        <v>1.8</v>
      </c>
      <c r="H49" s="32" t="n">
        <f aca="false">IFERROR(ROUND(D49/C49,0),0)</f>
        <v>175</v>
      </c>
      <c r="I49" s="32" t="n">
        <f aca="false">IFERROR(ROUND(E49/C49,1),0)</f>
        <v>18.3</v>
      </c>
      <c r="J49" s="32" t="n">
        <f aca="false">IFERROR(ROUND(F49/C49,1),0)</f>
        <v>19.8</v>
      </c>
      <c r="K49" s="32" t="n">
        <f aca="false">IFERROR(ROUND(G49/C49,1),0)</f>
        <v>1.8</v>
      </c>
      <c r="L49" s="11" t="s">
        <v>377</v>
      </c>
    </row>
    <row r="50" customFormat="false" ht="15" hidden="false" customHeight="true" outlineLevel="0" collapsed="false">
      <c r="A50" s="11" t="s">
        <v>325</v>
      </c>
      <c r="B50" s="11" t="s">
        <v>296</v>
      </c>
      <c r="C50" s="17" t="n">
        <v>1</v>
      </c>
      <c r="D50" s="32" t="n">
        <f aca="false">SUMIF(②配方明细!$A:$A,$A50,②配方明细!$J:$J)</f>
        <v>895</v>
      </c>
      <c r="E50" s="32" t="n">
        <f aca="false">ROUND(SUMIF(②配方明细!$A:$A,$A50,②配方明细!$K:$K),1)</f>
        <v>63.9</v>
      </c>
      <c r="F50" s="32" t="n">
        <f aca="false">ROUND(SUMIF(②配方明细!$A:$A,$A50,②配方明细!$L:$L),1)</f>
        <v>83</v>
      </c>
      <c r="G50" s="32" t="n">
        <f aca="false">ROUND(SUMIF(②配方明细!$A:$A,$A50,②配方明细!$M:$M),1)</f>
        <v>31.8</v>
      </c>
      <c r="H50" s="32" t="n">
        <f aca="false">IFERROR(ROUND(D50/C50,0),0)</f>
        <v>895</v>
      </c>
      <c r="I50" s="32" t="n">
        <f aca="false">IFERROR(ROUND(E50/C50,1),0)</f>
        <v>63.9</v>
      </c>
      <c r="J50" s="32" t="n">
        <f aca="false">IFERROR(ROUND(F50/C50,1),0)</f>
        <v>83</v>
      </c>
      <c r="K50" s="32" t="n">
        <f aca="false">IFERROR(ROUND(G50/C50,1),0)</f>
        <v>31.8</v>
      </c>
      <c r="L50" s="16" t="s">
        <v>378</v>
      </c>
    </row>
    <row r="51" customFormat="false" ht="15" hidden="false" customHeight="true" outlineLevel="0" collapsed="false">
      <c r="A51" s="11" t="s">
        <v>330</v>
      </c>
      <c r="B51" s="11" t="s">
        <v>287</v>
      </c>
      <c r="C51" s="17" t="n">
        <v>1</v>
      </c>
      <c r="D51" s="32" t="n">
        <f aca="false">SUMIF(②配方明细!$A:$A,$A51,②配方明细!$J:$J)</f>
        <v>265</v>
      </c>
      <c r="E51" s="32" t="n">
        <f aca="false">ROUND(SUMIF(②配方明细!$A:$A,$A51,②配方明细!$K:$K),1)</f>
        <v>11.6</v>
      </c>
      <c r="F51" s="32" t="n">
        <f aca="false">ROUND(SUMIF(②配方明细!$A:$A,$A51,②配方明细!$L:$L),1)</f>
        <v>40.7</v>
      </c>
      <c r="G51" s="32" t="n">
        <f aca="false">ROUND(SUMIF(②配方明细!$A:$A,$A51,②配方明细!$M:$M),1)</f>
        <v>6.5</v>
      </c>
      <c r="H51" s="32" t="n">
        <f aca="false">IFERROR(ROUND(D51/C51,0),0)</f>
        <v>265</v>
      </c>
      <c r="I51" s="32" t="n">
        <f aca="false">IFERROR(ROUND(E51/C51,1),0)</f>
        <v>11.6</v>
      </c>
      <c r="J51" s="32" t="n">
        <f aca="false">IFERROR(ROUND(F51/C51,1),0)</f>
        <v>40.7</v>
      </c>
      <c r="K51" s="32" t="n">
        <f aca="false">IFERROR(ROUND(G51/C51,1),0)</f>
        <v>6.5</v>
      </c>
      <c r="L51" s="16" t="s">
        <v>379</v>
      </c>
    </row>
    <row r="52" customFormat="false" ht="29.25" hidden="false" customHeight="true" outlineLevel="0" collapsed="false">
      <c r="A52" s="11" t="s">
        <v>333</v>
      </c>
      <c r="B52" s="11" t="s">
        <v>296</v>
      </c>
      <c r="C52" s="17" t="n">
        <v>1</v>
      </c>
      <c r="D52" s="32" t="n">
        <f aca="false">SUMIF(②配方明细!$A:$A,$A52,②配方明细!$J:$J)</f>
        <v>655</v>
      </c>
      <c r="E52" s="32" t="n">
        <f aca="false">ROUND(SUMIF(②配方明细!$A:$A,$A52,②配方明细!$K:$K),1)</f>
        <v>39</v>
      </c>
      <c r="F52" s="32" t="n">
        <f aca="false">ROUND(SUMIF(②配方明细!$A:$A,$A52,②配方明细!$L:$L),1)</f>
        <v>88.8</v>
      </c>
      <c r="G52" s="32" t="n">
        <f aca="false">ROUND(SUMIF(②配方明细!$A:$A,$A52,②配方明细!$M:$M),1)</f>
        <v>15.9</v>
      </c>
      <c r="H52" s="32" t="n">
        <f aca="false">IFERROR(ROUND(D52/C52,0),0)</f>
        <v>655</v>
      </c>
      <c r="I52" s="32" t="n">
        <f aca="false">IFERROR(ROUND(E52/C52,1),0)</f>
        <v>39</v>
      </c>
      <c r="J52" s="32" t="n">
        <f aca="false">IFERROR(ROUND(F52/C52,1),0)</f>
        <v>88.8</v>
      </c>
      <c r="K52" s="32" t="n">
        <f aca="false">IFERROR(ROUND(G52/C52,1),0)</f>
        <v>15.9</v>
      </c>
      <c r="L52" s="16" t="s">
        <v>380</v>
      </c>
    </row>
    <row r="53" customFormat="false" ht="15" hidden="false" customHeight="true" outlineLevel="0" collapsed="false">
      <c r="A53" s="11" t="s">
        <v>337</v>
      </c>
      <c r="B53" s="16" t="s">
        <v>307</v>
      </c>
      <c r="C53" s="17" t="n">
        <v>1</v>
      </c>
      <c r="D53" s="32" t="n">
        <f aca="false">SUMIF(②配方明细!$A:$A,$A53,②配方明细!$J:$J)</f>
        <v>201</v>
      </c>
      <c r="E53" s="32" t="n">
        <f aca="false">ROUND(SUMIF(②配方明细!$A:$A,$A53,②配方明细!$K:$K),1)</f>
        <v>2.1</v>
      </c>
      <c r="F53" s="32" t="n">
        <f aca="false">ROUND(SUMIF(②配方明细!$A:$A,$A53,②配方明细!$L:$L),1)</f>
        <v>27</v>
      </c>
      <c r="G53" s="32" t="n">
        <f aca="false">ROUND(SUMIF(②配方明细!$A:$A,$A53,②配方明细!$M:$M),1)</f>
        <v>9.6</v>
      </c>
      <c r="H53" s="32" t="n">
        <f aca="false">IFERROR(ROUND(D53/C53,0),0)</f>
        <v>201</v>
      </c>
      <c r="I53" s="32" t="n">
        <f aca="false">IFERROR(ROUND(E53/C53,1),0)</f>
        <v>2.1</v>
      </c>
      <c r="J53" s="32" t="n">
        <f aca="false">IFERROR(ROUND(F53/C53,1),0)</f>
        <v>27</v>
      </c>
      <c r="K53" s="32" t="n">
        <f aca="false">IFERROR(ROUND(G53/C53,1),0)</f>
        <v>9.6</v>
      </c>
      <c r="L53" s="11" t="s">
        <v>381</v>
      </c>
    </row>
    <row r="54" customFormat="false" ht="29.85" hidden="false" customHeight="false" outlineLevel="0" collapsed="false">
      <c r="A54" s="21" t="s">
        <v>339</v>
      </c>
      <c r="B54" s="21" t="s">
        <v>257</v>
      </c>
      <c r="C54" s="17" t="n">
        <v>3</v>
      </c>
      <c r="D54" s="32" t="n">
        <f aca="false">SUMIF(②配方明细!$A:$A,$A54,②配方明细!$J:$J)</f>
        <v>2244</v>
      </c>
      <c r="E54" s="32" t="n">
        <f aca="false">ROUND(SUMIF(②配方明细!$A:$A,$A54,②配方明细!$K:$K),1)</f>
        <v>113.1</v>
      </c>
      <c r="F54" s="32" t="n">
        <f aca="false">ROUND(SUMIF(②配方明细!$A:$A,$A54,②配方明细!$L:$L),1)</f>
        <v>159.2</v>
      </c>
      <c r="G54" s="32" t="n">
        <f aca="false">ROUND(SUMIF(②配方明细!$A:$A,$A54,②配方明细!$M:$M),1)</f>
        <v>133.2</v>
      </c>
      <c r="H54" s="32" t="n">
        <f aca="false">IFERROR(ROUND(D54/C54,0),0)</f>
        <v>748</v>
      </c>
      <c r="I54" s="32" t="n">
        <f aca="false">IFERROR(ROUND(E54/C54,1),0)</f>
        <v>37.7</v>
      </c>
      <c r="J54" s="32" t="n">
        <f aca="false">IFERROR(ROUND(F54/C54,1),0)</f>
        <v>53.1</v>
      </c>
      <c r="K54" s="32" t="n">
        <f aca="false">IFERROR(ROUND(G54/C54,1),0)</f>
        <v>44.4</v>
      </c>
      <c r="L54" s="16" t="s">
        <v>382</v>
      </c>
    </row>
    <row r="55" customFormat="false" ht="15" hidden="false" customHeight="false" outlineLevel="0" collapsed="false">
      <c r="A55" s="21" t="s">
        <v>350</v>
      </c>
      <c r="B55" s="21" t="s">
        <v>145</v>
      </c>
      <c r="C55" s="17" t="n">
        <v>1</v>
      </c>
      <c r="D55" s="32" t="n">
        <f aca="false">SUMIF(②配方明细!$A:$A,$A55,②配方明细!$J:$J)</f>
        <v>28</v>
      </c>
      <c r="E55" s="32" t="n">
        <f aca="false">ROUND(SUMIF(②配方明细!$A:$A,$A55,②配方明细!$K:$K),1)</f>
        <v>2.8</v>
      </c>
      <c r="F55" s="32" t="n">
        <f aca="false">ROUND(SUMIF(②配方明细!$A:$A,$A55,②配方明细!$L:$L),1)</f>
        <v>5.3</v>
      </c>
      <c r="G55" s="32" t="n">
        <f aca="false">ROUND(SUMIF(②配方明细!$A:$A,$A55,②配方明细!$M:$M),1)</f>
        <v>0.4</v>
      </c>
      <c r="H55" s="32" t="n">
        <f aca="false">IFERROR(ROUND(D55/C55,0),0)</f>
        <v>28</v>
      </c>
      <c r="I55" s="32" t="n">
        <f aca="false">IFERROR(ROUND(E55/C55,1),0)</f>
        <v>2.8</v>
      </c>
      <c r="J55" s="32" t="n">
        <f aca="false">IFERROR(ROUND(F55/C55,1),0)</f>
        <v>5.3</v>
      </c>
      <c r="K55" s="32" t="n">
        <f aca="false">IFERROR(ROUND(G55/C55,1),0)</f>
        <v>0.4</v>
      </c>
      <c r="L55" s="16" t="s">
        <v>383</v>
      </c>
    </row>
    <row r="56" customFormat="false" ht="15" hidden="false" customHeight="false" outlineLevel="0" collapsed="false">
      <c r="A56" s="21" t="s">
        <v>232</v>
      </c>
      <c r="B56" s="21" t="s">
        <v>186</v>
      </c>
      <c r="C56" s="17" t="n">
        <v>1</v>
      </c>
      <c r="D56" s="32" t="n">
        <f aca="false">SUMIF(②配方明细!$A:$A,$A56,②配方明细!$J:$J)</f>
        <v>97</v>
      </c>
      <c r="E56" s="32" t="n">
        <f aca="false">ROUND(SUMIF(②配方明细!$A:$A,$A56,②配方明细!$K:$K),1)</f>
        <v>1.2</v>
      </c>
      <c r="F56" s="32" t="n">
        <f aca="false">ROUND(SUMIF(②配方明细!$A:$A,$A56,②配方明细!$L:$L),1)</f>
        <v>23.8</v>
      </c>
      <c r="G56" s="32" t="n">
        <f aca="false">ROUND(SUMIF(②配方明细!$A:$A,$A56,②配方明细!$M:$M),1)</f>
        <v>0.5</v>
      </c>
      <c r="H56" s="32" t="n">
        <f aca="false">IFERROR(ROUND(D56/C56,0),0)</f>
        <v>97</v>
      </c>
      <c r="I56" s="32" t="n">
        <f aca="false">IFERROR(ROUND(E56/C56,1),0)</f>
        <v>1.2</v>
      </c>
      <c r="J56" s="32" t="n">
        <f aca="false">IFERROR(ROUND(F56/C56,1),0)</f>
        <v>23.8</v>
      </c>
      <c r="K56" s="32" t="n">
        <f aca="false">IFERROR(ROUND(G56/C56,1),0)</f>
        <v>0.5</v>
      </c>
      <c r="L56" s="16" t="s">
        <v>384</v>
      </c>
    </row>
    <row r="57" customFormat="false" ht="15" hidden="false" customHeight="false" outlineLevel="0" collapsed="false">
      <c r="A57" s="21" t="s">
        <v>353</v>
      </c>
      <c r="B57" s="21" t="s">
        <v>46</v>
      </c>
      <c r="C57" s="17" t="n">
        <v>1</v>
      </c>
      <c r="D57" s="32" t="n">
        <f aca="false">SUMIF(②配方明细!$A:$A,$A57,②配方明细!$J:$J)</f>
        <v>375</v>
      </c>
      <c r="E57" s="32" t="n">
        <f aca="false">ROUND(SUMIF(②配方明细!$A:$A,$A57,②配方明细!$K:$K),1)</f>
        <v>15</v>
      </c>
      <c r="F57" s="32" t="n">
        <f aca="false">ROUND(SUMIF(②配方明细!$A:$A,$A57,②配方明细!$L:$L),1)</f>
        <v>3.8</v>
      </c>
      <c r="G57" s="32" t="n">
        <f aca="false">ROUND(SUMIF(②配方明细!$A:$A,$A57,②配方明细!$M:$M),1)</f>
        <v>33.8</v>
      </c>
      <c r="H57" s="32" t="n">
        <f aca="false">IFERROR(ROUND(D57/C57,0),0)</f>
        <v>375</v>
      </c>
      <c r="I57" s="32" t="n">
        <f aca="false">IFERROR(ROUND(E57/C57,1),0)</f>
        <v>15</v>
      </c>
      <c r="J57" s="32" t="n">
        <f aca="false">IFERROR(ROUND(F57/C57,1),0)</f>
        <v>3.8</v>
      </c>
      <c r="K57" s="32" t="n">
        <f aca="false">IFERROR(ROUND(G57/C57,1),0)</f>
        <v>33.8</v>
      </c>
      <c r="L57" s="16" t="s">
        <v>385</v>
      </c>
    </row>
    <row r="58" customFormat="false" ht="15" hidden="false" customHeight="false" outlineLevel="0" collapsed="false">
      <c r="A58" s="21" t="s">
        <v>234</v>
      </c>
      <c r="B58" s="21" t="s">
        <v>186</v>
      </c>
      <c r="C58" s="17" t="n">
        <v>1</v>
      </c>
      <c r="D58" s="32" t="n">
        <f aca="false">SUMIF(②配方明细!$A:$A,$A58,②配方明细!$J:$J)</f>
        <v>59</v>
      </c>
      <c r="E58" s="32" t="n">
        <f aca="false">ROUND(SUMIF(②配方明细!$A:$A,$A58,②配方明细!$K:$K),1)</f>
        <v>1.4</v>
      </c>
      <c r="F58" s="32" t="n">
        <f aca="false">ROUND(SUMIF(②配方明细!$A:$A,$A58,②配方明细!$L:$L),1)</f>
        <v>15</v>
      </c>
      <c r="G58" s="32" t="n">
        <f aca="false">ROUND(SUMIF(②配方明细!$A:$A,$A58,②配方明细!$M:$M),1)</f>
        <v>0.5</v>
      </c>
      <c r="H58" s="32" t="n">
        <f aca="false">IFERROR(ROUND(D58/C58,0),0)</f>
        <v>59</v>
      </c>
      <c r="I58" s="32" t="n">
        <f aca="false">IFERROR(ROUND(E58/C58,1),0)</f>
        <v>1.4</v>
      </c>
      <c r="J58" s="32" t="n">
        <f aca="false">IFERROR(ROUND(F58/C58,1),0)</f>
        <v>15</v>
      </c>
      <c r="K58" s="32" t="n">
        <f aca="false">IFERROR(ROUND(G58/C58,1),0)</f>
        <v>0.5</v>
      </c>
      <c r="L58" s="16" t="s">
        <v>386</v>
      </c>
    </row>
    <row r="59" customFormat="false" ht="15" hidden="false" customHeight="false" outlineLevel="0" collapsed="false">
      <c r="A59" s="21" t="s">
        <v>239</v>
      </c>
      <c r="B59" s="16" t="s">
        <v>307</v>
      </c>
      <c r="C59" s="17" t="n">
        <v>1</v>
      </c>
      <c r="D59" s="32" t="n">
        <f aca="false">SUMIF(②配方明细!$A:$A,$A59,②配方明细!$J:$J)</f>
        <v>400</v>
      </c>
      <c r="E59" s="32" t="n">
        <f aca="false">ROUND(SUMIF(②配方明细!$A:$A,$A59,②配方明细!$K:$K),1)</f>
        <v>5</v>
      </c>
      <c r="F59" s="32" t="n">
        <f aca="false">ROUND(SUMIF(②配方明细!$A:$A,$A59,②配方明细!$L:$L),1)</f>
        <v>50</v>
      </c>
      <c r="G59" s="32" t="n">
        <f aca="false">ROUND(SUMIF(②配方明细!$A:$A,$A59,②配方明细!$M:$M),1)</f>
        <v>20</v>
      </c>
      <c r="H59" s="32" t="n">
        <f aca="false">IFERROR(ROUND(D59/C59,0),0)</f>
        <v>400</v>
      </c>
      <c r="I59" s="32" t="n">
        <f aca="false">IFERROR(ROUND(E59/C59,1),0)</f>
        <v>5</v>
      </c>
      <c r="J59" s="32" t="n">
        <f aca="false">IFERROR(ROUND(F59/C59,1),0)</f>
        <v>50</v>
      </c>
      <c r="K59" s="32" t="n">
        <f aca="false">IFERROR(ROUND(G59/C59,1),0)</f>
        <v>20</v>
      </c>
      <c r="L59" s="21" t="s">
        <v>387</v>
      </c>
    </row>
  </sheetData>
  <mergeCells count="7">
    <mergeCell ref="A3:L3"/>
    <mergeCell ref="A14:L14"/>
    <mergeCell ref="A21:L21"/>
    <mergeCell ref="A27:L27"/>
    <mergeCell ref="A34:L34"/>
    <mergeCell ref="A40:L40"/>
    <mergeCell ref="A45:L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12"/>
    <col collapsed="false" customWidth="true" hidden="false" outlineLevel="0" max="4" min="4" style="1" width="38"/>
    <col collapsed="false" customWidth="true" hidden="false" outlineLevel="0" max="5" min="5" style="1" width="40"/>
  </cols>
  <sheetData>
    <row r="1" customFormat="false" ht="21.75" hidden="false" customHeight="true" outlineLevel="0" collapsed="false">
      <c r="A1" s="2" t="s">
        <v>388</v>
      </c>
    </row>
    <row r="2" customFormat="false" ht="16.5" hidden="false" customHeight="true" outlineLevel="0" collapsed="false">
      <c r="A2" s="9" t="s">
        <v>389</v>
      </c>
      <c r="B2" s="9" t="s">
        <v>390</v>
      </c>
      <c r="C2" s="9" t="s">
        <v>391</v>
      </c>
      <c r="D2" s="9" t="s">
        <v>392</v>
      </c>
      <c r="E2" s="9" t="s">
        <v>393</v>
      </c>
    </row>
    <row r="3" customFormat="false" ht="29.25" hidden="false" customHeight="true" outlineLevel="0" collapsed="false">
      <c r="A3" s="11" t="s">
        <v>394</v>
      </c>
      <c r="B3" s="13" t="s">
        <v>395</v>
      </c>
      <c r="C3" s="13" t="s">
        <v>396</v>
      </c>
      <c r="D3" s="11" t="s">
        <v>397</v>
      </c>
      <c r="E3" s="33" t="s">
        <v>398</v>
      </c>
    </row>
    <row r="4" customFormat="false" ht="15" hidden="false" customHeight="true" outlineLevel="0" collapsed="false">
      <c r="A4" s="11" t="s">
        <v>399</v>
      </c>
      <c r="B4" s="13" t="s">
        <v>400</v>
      </c>
      <c r="C4" s="13" t="s">
        <v>241</v>
      </c>
      <c r="D4" s="11" t="s">
        <v>401</v>
      </c>
      <c r="E4" s="11" t="s">
        <v>402</v>
      </c>
    </row>
    <row r="5" customFormat="false" ht="15" hidden="false" customHeight="true" outlineLevel="0" collapsed="false">
      <c r="A5" s="11" t="s">
        <v>403</v>
      </c>
      <c r="B5" s="13" t="s">
        <v>404</v>
      </c>
      <c r="C5" s="13" t="s">
        <v>241</v>
      </c>
      <c r="D5" s="11" t="s">
        <v>405</v>
      </c>
      <c r="E5" s="11" t="s">
        <v>406</v>
      </c>
    </row>
    <row r="6" customFormat="false" ht="15" hidden="false" customHeight="true" outlineLevel="0" collapsed="false">
      <c r="A6" s="11" t="s">
        <v>407</v>
      </c>
      <c r="B6" s="13" t="s">
        <v>241</v>
      </c>
      <c r="C6" s="13" t="s">
        <v>241</v>
      </c>
      <c r="D6" s="33" t="s">
        <v>408</v>
      </c>
      <c r="E6" s="11" t="s">
        <v>409</v>
      </c>
    </row>
    <row r="7" customFormat="false" ht="15" hidden="false" customHeight="true" outlineLevel="0" collapsed="false">
      <c r="A7" s="10" t="s">
        <v>410</v>
      </c>
      <c r="B7" s="10"/>
      <c r="C7" s="10"/>
      <c r="D7" s="10"/>
      <c r="E7" s="10"/>
    </row>
    <row r="8" customFormat="false" ht="15" hidden="false" customHeight="true" outlineLevel="0" collapsed="false">
      <c r="A8" s="11" t="s">
        <v>411</v>
      </c>
      <c r="B8" s="13" t="s">
        <v>241</v>
      </c>
      <c r="C8" s="13" t="s">
        <v>412</v>
      </c>
      <c r="D8" s="11" t="s">
        <v>413</v>
      </c>
      <c r="E8" s="11" t="s">
        <v>414</v>
      </c>
    </row>
    <row r="9" customFormat="false" ht="15" hidden="false" customHeight="true" outlineLevel="0" collapsed="false">
      <c r="A9" s="11" t="s">
        <v>415</v>
      </c>
      <c r="B9" s="13" t="s">
        <v>241</v>
      </c>
      <c r="C9" s="13" t="s">
        <v>241</v>
      </c>
      <c r="D9" s="33" t="s">
        <v>416</v>
      </c>
      <c r="E9" s="11" t="s">
        <v>417</v>
      </c>
    </row>
    <row r="10" customFormat="false" ht="15" hidden="false" customHeight="true" outlineLevel="0" collapsed="false">
      <c r="A10" s="11" t="s">
        <v>418</v>
      </c>
      <c r="B10" s="13" t="s">
        <v>241</v>
      </c>
      <c r="C10" s="13" t="s">
        <v>241</v>
      </c>
      <c r="D10" s="11" t="s">
        <v>419</v>
      </c>
      <c r="E10" s="33" t="s">
        <v>241</v>
      </c>
    </row>
  </sheetData>
  <mergeCells count="1">
    <mergeCell ref="A7:E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12"/>
    <col collapsed="false" customWidth="true" hidden="false" outlineLevel="0" max="5" min="5" style="1" width="26"/>
  </cols>
  <sheetData>
    <row r="1" customFormat="false" ht="21.75" hidden="false" customHeight="true" outlineLevel="0" collapsed="false">
      <c r="A1" s="2" t="s">
        <v>420</v>
      </c>
    </row>
    <row r="2" customFormat="false" ht="15" hidden="false" customHeight="true" outlineLevel="0" collapsed="false">
      <c r="A2" s="3" t="s">
        <v>421</v>
      </c>
    </row>
    <row r="4" customFormat="false" ht="15" hidden="false" customHeight="true" outlineLevel="0" collapsed="false">
      <c r="A4" s="36" t="s">
        <v>422</v>
      </c>
      <c r="B4" s="36"/>
      <c r="C4" s="36"/>
      <c r="D4" s="36"/>
      <c r="E4" s="36"/>
    </row>
    <row r="5" customFormat="false" ht="15.75" hidden="false" customHeight="true" outlineLevel="0" collapsed="false">
      <c r="A5" s="37"/>
      <c r="B5" s="9" t="s">
        <v>37</v>
      </c>
      <c r="C5" s="9" t="s">
        <v>423</v>
      </c>
      <c r="D5" s="9" t="s">
        <v>424</v>
      </c>
      <c r="E5" s="9" t="s">
        <v>425</v>
      </c>
    </row>
    <row r="6" customFormat="false" ht="15" hidden="false" customHeight="true" outlineLevel="0" collapsed="false">
      <c r="A6" s="13" t="s">
        <v>426</v>
      </c>
      <c r="B6" s="38" t="s">
        <v>427</v>
      </c>
      <c r="C6" s="39" t="s">
        <v>428</v>
      </c>
      <c r="D6" s="38" t="s">
        <v>429</v>
      </c>
      <c r="E6" s="38" t="s">
        <v>430</v>
      </c>
    </row>
    <row r="7" customFormat="false" ht="15" hidden="false" customHeight="true" outlineLevel="0" collapsed="false">
      <c r="A7" s="13" t="s">
        <v>426</v>
      </c>
      <c r="B7" s="38" t="s">
        <v>431</v>
      </c>
      <c r="C7" s="38" t="s">
        <v>432</v>
      </c>
      <c r="D7" s="39" t="s">
        <v>433</v>
      </c>
      <c r="E7" s="38" t="s">
        <v>434</v>
      </c>
    </row>
    <row r="8" customFormat="false" ht="15" hidden="false" customHeight="true" outlineLevel="0" collapsed="false">
      <c r="A8" s="13" t="s">
        <v>426</v>
      </c>
      <c r="B8" s="38" t="s">
        <v>435</v>
      </c>
      <c r="C8" s="38" t="s">
        <v>436</v>
      </c>
      <c r="D8" s="38" t="s">
        <v>437</v>
      </c>
      <c r="E8" s="38" t="s">
        <v>438</v>
      </c>
    </row>
    <row r="10" customFormat="false" ht="15" hidden="false" customHeight="true" outlineLevel="0" collapsed="false">
      <c r="A10" s="34" t="s">
        <v>439</v>
      </c>
      <c r="B10" s="34"/>
      <c r="C10" s="34"/>
      <c r="D10" s="34"/>
      <c r="E10" s="34"/>
    </row>
    <row r="11" customFormat="false" ht="15.75" hidden="false" customHeight="true" outlineLevel="0" collapsed="false">
      <c r="A11" s="37"/>
      <c r="B11" s="9" t="s">
        <v>37</v>
      </c>
      <c r="C11" s="9" t="s">
        <v>423</v>
      </c>
      <c r="D11" s="9" t="s">
        <v>440</v>
      </c>
      <c r="E11" s="9" t="s">
        <v>441</v>
      </c>
    </row>
    <row r="12" customFormat="false" ht="15" hidden="false" customHeight="true" outlineLevel="0" collapsed="false">
      <c r="A12" s="13"/>
      <c r="B12" s="40" t="s">
        <v>442</v>
      </c>
      <c r="C12" s="41" t="s">
        <v>443</v>
      </c>
      <c r="D12" s="41" t="s">
        <v>444</v>
      </c>
      <c r="E12" s="40" t="s">
        <v>445</v>
      </c>
    </row>
    <row r="13" customFormat="false" ht="15" hidden="false" customHeight="true" outlineLevel="0" collapsed="false">
      <c r="A13" s="13"/>
      <c r="B13" s="41" t="s">
        <v>446</v>
      </c>
      <c r="C13" s="41" t="s">
        <v>269</v>
      </c>
      <c r="D13" s="41" t="s">
        <v>447</v>
      </c>
      <c r="E13" s="40" t="s">
        <v>448</v>
      </c>
    </row>
    <row r="15" customFormat="false" ht="15" hidden="false" customHeight="true" outlineLevel="0" collapsed="false">
      <c r="A15" s="42" t="s">
        <v>449</v>
      </c>
      <c r="B15" s="42"/>
      <c r="C15" s="42"/>
      <c r="D15" s="42"/>
      <c r="E15" s="42"/>
    </row>
    <row r="16" customFormat="false" ht="15.75" hidden="false" customHeight="true" outlineLevel="0" collapsed="false">
      <c r="A16" s="37"/>
      <c r="B16" s="9" t="s">
        <v>450</v>
      </c>
      <c r="C16" s="9" t="s">
        <v>451</v>
      </c>
      <c r="D16" s="9" t="s">
        <v>452</v>
      </c>
      <c r="E16" s="9" t="s">
        <v>365</v>
      </c>
    </row>
    <row r="17" customFormat="false" ht="15" hidden="false" customHeight="true" outlineLevel="0" collapsed="false">
      <c r="A17" s="43"/>
      <c r="B17" s="35" t="s">
        <v>453</v>
      </c>
      <c r="C17" s="35"/>
      <c r="D17" s="35"/>
      <c r="E17" s="35"/>
    </row>
    <row r="18" customFormat="false" ht="15" hidden="false" customHeight="true" outlineLevel="0" collapsed="false">
      <c r="A18" s="13" t="s">
        <v>426</v>
      </c>
      <c r="B18" s="44" t="s">
        <v>454</v>
      </c>
      <c r="C18" s="45" t="s">
        <v>455</v>
      </c>
      <c r="D18" s="45" t="s">
        <v>456</v>
      </c>
      <c r="E18" s="44" t="s">
        <v>457</v>
      </c>
    </row>
    <row r="19" customFormat="false" ht="27.75" hidden="false" customHeight="true" outlineLevel="0" collapsed="false">
      <c r="A19" s="13" t="s">
        <v>426</v>
      </c>
      <c r="B19" s="44" t="s">
        <v>458</v>
      </c>
      <c r="C19" s="45" t="s">
        <v>459</v>
      </c>
      <c r="D19" s="44" t="s">
        <v>460</v>
      </c>
      <c r="E19" s="45"/>
    </row>
    <row r="20" customFormat="false" ht="15" hidden="false" customHeight="true" outlineLevel="0" collapsed="false">
      <c r="A20" s="13" t="s">
        <v>426</v>
      </c>
      <c r="B20" s="44" t="s">
        <v>461</v>
      </c>
      <c r="C20" s="45" t="s">
        <v>462</v>
      </c>
      <c r="D20" s="45" t="s">
        <v>463</v>
      </c>
      <c r="E20" s="45"/>
    </row>
    <row r="21" customFormat="false" ht="15" hidden="false" customHeight="true" outlineLevel="0" collapsed="false">
      <c r="A21" s="13" t="s">
        <v>426</v>
      </c>
      <c r="B21" s="44" t="s">
        <v>464</v>
      </c>
      <c r="C21" s="45" t="s">
        <v>465</v>
      </c>
      <c r="D21" s="44" t="s">
        <v>466</v>
      </c>
      <c r="E21" s="44" t="s">
        <v>467</v>
      </c>
    </row>
    <row r="22" customFormat="false" ht="15" hidden="false" customHeight="true" outlineLevel="0" collapsed="false">
      <c r="A22" s="13" t="s">
        <v>426</v>
      </c>
      <c r="B22" s="44" t="s">
        <v>72</v>
      </c>
      <c r="C22" s="45" t="s">
        <v>468</v>
      </c>
      <c r="D22" s="44" t="s">
        <v>469</v>
      </c>
      <c r="E22" s="44" t="s">
        <v>470</v>
      </c>
    </row>
    <row r="23" customFormat="false" ht="15" hidden="false" customHeight="true" outlineLevel="0" collapsed="false">
      <c r="A23" s="43"/>
      <c r="B23" s="35" t="s">
        <v>287</v>
      </c>
      <c r="C23" s="35"/>
      <c r="D23" s="35"/>
      <c r="E23" s="35"/>
    </row>
    <row r="24" customFormat="false" ht="15" hidden="false" customHeight="true" outlineLevel="0" collapsed="false">
      <c r="A24" s="13" t="s">
        <v>426</v>
      </c>
      <c r="B24" s="44" t="s">
        <v>471</v>
      </c>
      <c r="C24" s="45" t="s">
        <v>472</v>
      </c>
      <c r="D24" s="44" t="s">
        <v>473</v>
      </c>
      <c r="E24" s="44" t="s">
        <v>470</v>
      </c>
    </row>
    <row r="25" customFormat="false" ht="15" hidden="false" customHeight="true" outlineLevel="0" collapsed="false">
      <c r="A25" s="13" t="s">
        <v>426</v>
      </c>
      <c r="B25" s="44" t="s">
        <v>474</v>
      </c>
      <c r="C25" s="45" t="s">
        <v>475</v>
      </c>
      <c r="D25" s="44" t="s">
        <v>476</v>
      </c>
      <c r="E25" s="44" t="s">
        <v>470</v>
      </c>
    </row>
    <row r="26" customFormat="false" ht="27.75" hidden="false" customHeight="true" outlineLevel="0" collapsed="false">
      <c r="A26" s="13" t="s">
        <v>426</v>
      </c>
      <c r="B26" s="44" t="s">
        <v>477</v>
      </c>
      <c r="C26" s="45" t="s">
        <v>478</v>
      </c>
      <c r="D26" s="45" t="s">
        <v>479</v>
      </c>
      <c r="E26" s="44" t="s">
        <v>470</v>
      </c>
    </row>
    <row r="27" customFormat="false" ht="15" hidden="false" customHeight="true" outlineLevel="0" collapsed="false">
      <c r="A27" s="13"/>
      <c r="B27" s="40" t="s">
        <v>480</v>
      </c>
      <c r="C27" s="40" t="s">
        <v>481</v>
      </c>
      <c r="D27" s="40" t="s">
        <v>482</v>
      </c>
      <c r="E27" s="40" t="s">
        <v>483</v>
      </c>
    </row>
    <row r="28" customFormat="false" ht="15" hidden="false" customHeight="true" outlineLevel="0" collapsed="false">
      <c r="A28" s="43"/>
      <c r="B28" s="35" t="s">
        <v>145</v>
      </c>
      <c r="C28" s="35"/>
      <c r="D28" s="35"/>
      <c r="E28" s="35"/>
    </row>
    <row r="29" customFormat="false" ht="15" hidden="false" customHeight="true" outlineLevel="0" collapsed="false">
      <c r="A29" s="13" t="s">
        <v>426</v>
      </c>
      <c r="B29" s="44" t="s">
        <v>484</v>
      </c>
      <c r="C29" s="44" t="s">
        <v>485</v>
      </c>
      <c r="D29" s="44" t="s">
        <v>486</v>
      </c>
      <c r="E29" s="44" t="s">
        <v>487</v>
      </c>
    </row>
    <row r="30" customFormat="false" ht="15" hidden="false" customHeight="true" outlineLevel="0" collapsed="false">
      <c r="A30" s="13" t="s">
        <v>426</v>
      </c>
      <c r="B30" s="44" t="s">
        <v>488</v>
      </c>
      <c r="C30" s="44" t="s">
        <v>489</v>
      </c>
      <c r="D30" s="44" t="s">
        <v>490</v>
      </c>
      <c r="E30" s="45"/>
    </row>
    <row r="31" customFormat="false" ht="15" hidden="false" customHeight="true" outlineLevel="0" collapsed="false">
      <c r="A31" s="13" t="s">
        <v>426</v>
      </c>
      <c r="B31" s="44" t="s">
        <v>491</v>
      </c>
      <c r="C31" s="45" t="s">
        <v>492</v>
      </c>
      <c r="D31" s="44" t="s">
        <v>493</v>
      </c>
      <c r="E31" s="45" t="s">
        <v>494</v>
      </c>
    </row>
    <row r="32" customFormat="false" ht="15" hidden="false" customHeight="true" outlineLevel="0" collapsed="false">
      <c r="A32" s="43"/>
      <c r="B32" s="35" t="s">
        <v>495</v>
      </c>
      <c r="C32" s="35"/>
      <c r="D32" s="35"/>
      <c r="E32" s="35"/>
    </row>
    <row r="33" customFormat="false" ht="15" hidden="false" customHeight="true" outlineLevel="0" collapsed="false">
      <c r="A33" s="13" t="s">
        <v>426</v>
      </c>
      <c r="B33" s="44" t="s">
        <v>187</v>
      </c>
      <c r="C33" s="45" t="s">
        <v>496</v>
      </c>
      <c r="D33" s="44" t="s">
        <v>497</v>
      </c>
      <c r="E33" s="44" t="s">
        <v>498</v>
      </c>
    </row>
    <row r="34" customFormat="false" ht="15" hidden="false" customHeight="true" outlineLevel="0" collapsed="false">
      <c r="A34" s="13" t="s">
        <v>426</v>
      </c>
      <c r="B34" s="44" t="s">
        <v>191</v>
      </c>
      <c r="C34" s="45" t="s">
        <v>499</v>
      </c>
      <c r="D34" s="44" t="s">
        <v>407</v>
      </c>
      <c r="E34" s="44" t="s">
        <v>470</v>
      </c>
    </row>
    <row r="35" customFormat="false" ht="15" hidden="false" customHeight="true" outlineLevel="0" collapsed="false">
      <c r="A35" s="13" t="s">
        <v>426</v>
      </c>
      <c r="B35" s="44" t="s">
        <v>500</v>
      </c>
      <c r="C35" s="45" t="s">
        <v>501</v>
      </c>
      <c r="D35" s="44" t="s">
        <v>502</v>
      </c>
      <c r="E35" s="45"/>
    </row>
    <row r="36" customFormat="false" ht="15" hidden="false" customHeight="true" outlineLevel="0" collapsed="false">
      <c r="A36" s="13" t="s">
        <v>426</v>
      </c>
      <c r="B36" s="44" t="s">
        <v>132</v>
      </c>
      <c r="C36" s="45" t="s">
        <v>503</v>
      </c>
      <c r="D36" s="44" t="s">
        <v>504</v>
      </c>
      <c r="E36" s="44" t="s">
        <v>470</v>
      </c>
    </row>
    <row r="37" customFormat="false" ht="15" hidden="false" customHeight="true" outlineLevel="0" collapsed="false">
      <c r="A37" s="13" t="s">
        <v>426</v>
      </c>
      <c r="B37" s="44" t="s">
        <v>505</v>
      </c>
      <c r="C37" s="45" t="s">
        <v>90</v>
      </c>
      <c r="D37" s="44" t="s">
        <v>290</v>
      </c>
      <c r="E37" s="44" t="s">
        <v>506</v>
      </c>
    </row>
    <row r="38" customFormat="false" ht="15" hidden="false" customHeight="true" outlineLevel="0" collapsed="false">
      <c r="A38" s="43"/>
      <c r="B38" s="35" t="s">
        <v>507</v>
      </c>
      <c r="C38" s="35"/>
      <c r="D38" s="35"/>
      <c r="E38" s="35"/>
    </row>
    <row r="39" customFormat="false" ht="15" hidden="false" customHeight="true" outlineLevel="0" collapsed="false">
      <c r="A39" s="13" t="s">
        <v>426</v>
      </c>
      <c r="B39" s="44" t="s">
        <v>201</v>
      </c>
      <c r="C39" s="45" t="s">
        <v>492</v>
      </c>
      <c r="D39" s="44" t="s">
        <v>508</v>
      </c>
      <c r="E39" s="44" t="s">
        <v>509</v>
      </c>
    </row>
    <row r="40" customFormat="false" ht="15" hidden="false" customHeight="true" outlineLevel="0" collapsed="false">
      <c r="A40" s="13"/>
      <c r="B40" s="40" t="s">
        <v>510</v>
      </c>
      <c r="C40" s="40" t="s">
        <v>511</v>
      </c>
      <c r="D40" s="41" t="s">
        <v>241</v>
      </c>
      <c r="E40" s="41"/>
    </row>
    <row r="42" customFormat="false" ht="15" hidden="false" customHeight="true" outlineLevel="0" collapsed="false">
      <c r="A42" s="46" t="s">
        <v>512</v>
      </c>
      <c r="B42" s="46"/>
      <c r="C42" s="46"/>
      <c r="D42" s="46"/>
      <c r="E42" s="46"/>
    </row>
    <row r="43" customFormat="false" ht="15" hidden="false" customHeight="true" outlineLevel="0" collapsed="false">
      <c r="A43" s="11" t="s">
        <v>513</v>
      </c>
      <c r="B43" s="11"/>
      <c r="C43" s="11"/>
      <c r="D43" s="11"/>
      <c r="E43" s="11"/>
    </row>
    <row r="45" customFormat="false" ht="29.25" hidden="false" customHeight="true" outlineLevel="0" collapsed="false">
      <c r="A45" s="47" t="s">
        <v>514</v>
      </c>
      <c r="B45" s="47"/>
      <c r="C45" s="47"/>
      <c r="D45" s="47"/>
      <c r="E45" s="47"/>
    </row>
  </sheetData>
  <mergeCells count="11">
    <mergeCell ref="A4:E4"/>
    <mergeCell ref="A10:E10"/>
    <mergeCell ref="A15:E15"/>
    <mergeCell ref="B17:E17"/>
    <mergeCell ref="B23:E23"/>
    <mergeCell ref="B28:E28"/>
    <mergeCell ref="B32:E32"/>
    <mergeCell ref="B38:E38"/>
    <mergeCell ref="A42:E42"/>
    <mergeCell ref="A43:E43"/>
    <mergeCell ref="A45:E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9"/>
    <col collapsed="false" customWidth="true" hidden="false" outlineLevel="0" max="4" min="4" style="1" width="8"/>
    <col collapsed="false" customWidth="true" hidden="false" outlineLevel="0" max="5" min="5" style="1" width="9"/>
    <col collapsed="false" customWidth="true" hidden="false" outlineLevel="0" max="6" min="6" style="1" width="10"/>
    <col collapsed="false" customWidth="true" hidden="false" outlineLevel="0" max="7" min="7" style="1" width="11"/>
    <col collapsed="false" customWidth="true" hidden="false" outlineLevel="0" max="8" min="8" style="1" width="7"/>
    <col collapsed="false" customWidth="true" hidden="false" outlineLevel="0" max="9" min="9" style="1" width="30"/>
    <col collapsed="false" customWidth="true" hidden="false" outlineLevel="0" max="10" min="10" style="1" width="8"/>
    <col collapsed="false" customWidth="true" hidden="false" outlineLevel="0" max="11" min="11" style="1" width="18"/>
  </cols>
  <sheetData>
    <row r="1" customFormat="false" ht="21.75" hidden="false" customHeight="true" outlineLevel="0" collapsed="false">
      <c r="A1" s="2" t="s">
        <v>515</v>
      </c>
    </row>
    <row r="2" customFormat="false" ht="15" hidden="false" customHeight="true" outlineLevel="0" collapsed="false">
      <c r="A2" s="3" t="s">
        <v>516</v>
      </c>
    </row>
    <row r="3" customFormat="false" ht="16.5" hidden="false" customHeight="true" outlineLevel="0" collapsed="false">
      <c r="A3" s="9" t="s">
        <v>517</v>
      </c>
      <c r="B3" s="9" t="s">
        <v>36</v>
      </c>
      <c r="C3" s="9" t="s">
        <v>518</v>
      </c>
      <c r="D3" s="9" t="s">
        <v>519</v>
      </c>
      <c r="E3" s="9" t="s">
        <v>43</v>
      </c>
      <c r="F3" s="9" t="s">
        <v>520</v>
      </c>
      <c r="G3" s="9" t="s">
        <v>44</v>
      </c>
      <c r="H3" s="9" t="s">
        <v>521</v>
      </c>
      <c r="I3" s="9" t="s">
        <v>522</v>
      </c>
      <c r="J3" s="9" t="s">
        <v>523</v>
      </c>
      <c r="K3" s="9" t="s">
        <v>365</v>
      </c>
    </row>
    <row r="4" customFormat="false" ht="15" hidden="false" customHeight="true" outlineLevel="0" collapsed="false">
      <c r="A4" s="35" t="s">
        <v>524</v>
      </c>
      <c r="B4" s="35"/>
      <c r="C4" s="35"/>
      <c r="D4" s="35"/>
      <c r="E4" s="35"/>
      <c r="F4" s="35"/>
      <c r="G4" s="35"/>
      <c r="H4" s="35"/>
      <c r="I4" s="35"/>
      <c r="J4" s="35"/>
      <c r="K4" s="35"/>
    </row>
    <row r="5" customFormat="false" ht="15" hidden="false" customHeight="true" outlineLevel="0" collapsed="false">
      <c r="A5" s="40" t="s">
        <v>72</v>
      </c>
      <c r="B5" s="11" t="s">
        <v>46</v>
      </c>
      <c r="C5" s="14" t="n">
        <v>6</v>
      </c>
      <c r="D5" s="14" t="s">
        <v>235</v>
      </c>
      <c r="E5" s="14" t="s">
        <v>84</v>
      </c>
      <c r="F5" s="14" t="s">
        <v>525</v>
      </c>
      <c r="G5" s="48" t="str">
        <f aca="false">IFERROR(VLOOKUP(A5,①食材库!$B:$I,8,FALSE()),"")</f>
        <v>是</v>
      </c>
      <c r="H5" s="18" t="s">
        <v>526</v>
      </c>
      <c r="I5" s="14"/>
      <c r="J5" s="14"/>
      <c r="K5" s="14" t="s">
        <v>527</v>
      </c>
    </row>
    <row r="6" customFormat="false" ht="15" hidden="false" customHeight="true" outlineLevel="0" collapsed="false">
      <c r="A6" s="40" t="s">
        <v>94</v>
      </c>
      <c r="B6" s="11" t="s">
        <v>93</v>
      </c>
      <c r="C6" s="14" t="n">
        <v>1000</v>
      </c>
      <c r="D6" s="19" t="s">
        <v>528</v>
      </c>
      <c r="E6" s="14" t="s">
        <v>529</v>
      </c>
      <c r="F6" s="14" t="s">
        <v>525</v>
      </c>
      <c r="G6" s="48" t="str">
        <f aca="false">IFERROR(VLOOKUP(A6,①食材库!$B:$I,8,FALSE()),"")</f>
        <v>是</v>
      </c>
      <c r="H6" s="18" t="s">
        <v>530</v>
      </c>
      <c r="I6" s="14"/>
      <c r="J6" s="14"/>
      <c r="K6" s="14"/>
    </row>
    <row r="7" customFormat="false" ht="15" hidden="false" customHeight="true" outlineLevel="0" collapsed="false">
      <c r="A7" s="40" t="s">
        <v>122</v>
      </c>
      <c r="B7" s="11" t="s">
        <v>93</v>
      </c>
      <c r="C7" s="14" t="n">
        <v>600</v>
      </c>
      <c r="D7" s="19" t="s">
        <v>531</v>
      </c>
      <c r="E7" s="14" t="s">
        <v>529</v>
      </c>
      <c r="F7" s="14" t="s">
        <v>525</v>
      </c>
      <c r="G7" s="48" t="str">
        <f aca="false">IFERROR(VLOOKUP(A7,①食材库!$B:$I,8,FALSE()),"")</f>
        <v>是</v>
      </c>
      <c r="H7" s="18" t="s">
        <v>530</v>
      </c>
      <c r="I7" s="14"/>
      <c r="J7" s="14"/>
      <c r="K7" s="14" t="s">
        <v>532</v>
      </c>
    </row>
    <row r="8" customFormat="false" ht="15" hidden="false" customHeight="true" outlineLevel="0" collapsed="false">
      <c r="A8" s="40" t="s">
        <v>120</v>
      </c>
      <c r="B8" s="11" t="s">
        <v>93</v>
      </c>
      <c r="C8" s="14" t="n">
        <v>6</v>
      </c>
      <c r="D8" s="14" t="s">
        <v>533</v>
      </c>
      <c r="E8" s="14" t="s">
        <v>84</v>
      </c>
      <c r="F8" s="14" t="s">
        <v>525</v>
      </c>
      <c r="G8" s="48" t="str">
        <f aca="false">IFERROR(VLOOKUP(A8,①食材库!$B:$I,8,FALSE()),"")</f>
        <v>是</v>
      </c>
      <c r="H8" s="18" t="s">
        <v>526</v>
      </c>
      <c r="I8" s="14" t="s">
        <v>534</v>
      </c>
      <c r="J8" s="14"/>
      <c r="K8" s="14" t="s">
        <v>535</v>
      </c>
    </row>
    <row r="9" customFormat="false" ht="15" hidden="false" customHeight="true" outlineLevel="0" collapsed="false">
      <c r="A9" s="40" t="s">
        <v>62</v>
      </c>
      <c r="B9" s="11" t="s">
        <v>46</v>
      </c>
      <c r="C9" s="14" t="n">
        <v>1</v>
      </c>
      <c r="D9" s="14" t="s">
        <v>240</v>
      </c>
      <c r="E9" s="14" t="s">
        <v>214</v>
      </c>
      <c r="F9" s="14" t="s">
        <v>525</v>
      </c>
      <c r="G9" s="48" t="str">
        <f aca="false">IFERROR(VLOOKUP(A9,①食材库!$B:$I,8,FALSE()),"")</f>
        <v>是</v>
      </c>
      <c r="H9" s="18" t="s">
        <v>530</v>
      </c>
      <c r="I9" s="14"/>
      <c r="J9" s="14"/>
      <c r="K9" s="14" t="s">
        <v>536</v>
      </c>
    </row>
    <row r="10" customFormat="false" ht="15" hidden="false" customHeight="true" outlineLevel="0" collapsed="false">
      <c r="A10" s="40" t="s">
        <v>68</v>
      </c>
      <c r="B10" s="11" t="s">
        <v>46</v>
      </c>
      <c r="C10" s="14" t="n">
        <v>1</v>
      </c>
      <c r="D10" s="14" t="s">
        <v>218</v>
      </c>
      <c r="E10" s="14" t="s">
        <v>529</v>
      </c>
      <c r="F10" s="14" t="s">
        <v>525</v>
      </c>
      <c r="G10" s="48" t="str">
        <f aca="false">IFERROR(VLOOKUP(A10,①食材库!$B:$I,8,FALSE()),"")</f>
        <v>是</v>
      </c>
      <c r="H10" s="18" t="s">
        <v>530</v>
      </c>
      <c r="I10" s="14"/>
      <c r="J10" s="14"/>
      <c r="K10" s="14"/>
    </row>
    <row r="11" customFormat="false" ht="15" hidden="false" customHeight="true" outlineLevel="0" collapsed="false">
      <c r="A11" s="49" t="s">
        <v>170</v>
      </c>
      <c r="B11" s="11" t="s">
        <v>145</v>
      </c>
      <c r="C11" s="14" t="n">
        <v>0</v>
      </c>
      <c r="D11" s="14" t="s">
        <v>537</v>
      </c>
      <c r="E11" s="14" t="s">
        <v>84</v>
      </c>
      <c r="F11" s="14" t="s">
        <v>525</v>
      </c>
      <c r="G11" s="48" t="str">
        <f aca="false">IFERROR(VLOOKUP(A11,①食材库!$B:$I,8,FALSE()),"")</f>
        <v>否</v>
      </c>
      <c r="H11" s="50" t="s">
        <v>538</v>
      </c>
      <c r="I11" s="14" t="s">
        <v>431</v>
      </c>
      <c r="J11" s="14"/>
      <c r="K11" s="19" t="s">
        <v>539</v>
      </c>
    </row>
    <row r="12" customFormat="false" ht="15" hidden="false" customHeight="true" outlineLevel="0" collapsed="false">
      <c r="A12" s="49" t="s">
        <v>183</v>
      </c>
      <c r="B12" s="11" t="s">
        <v>145</v>
      </c>
      <c r="C12" s="14" t="n">
        <v>0</v>
      </c>
      <c r="D12" s="14" t="s">
        <v>533</v>
      </c>
      <c r="E12" s="14" t="s">
        <v>84</v>
      </c>
      <c r="F12" s="14" t="s">
        <v>525</v>
      </c>
      <c r="G12" s="48" t="str">
        <f aca="false">IFERROR(VLOOKUP(A12,①食材库!$B:$I,8,FALSE()),"")</f>
        <v>否</v>
      </c>
      <c r="H12" s="50" t="s">
        <v>538</v>
      </c>
      <c r="I12" s="14" t="s">
        <v>540</v>
      </c>
      <c r="J12" s="14"/>
      <c r="K12" s="14" t="s">
        <v>541</v>
      </c>
    </row>
    <row r="13" customFormat="false" ht="15" hidden="false" customHeight="true" outlineLevel="0" collapsed="false">
      <c r="A13" s="51" t="s">
        <v>542</v>
      </c>
      <c r="B13" s="11" t="s">
        <v>93</v>
      </c>
      <c r="C13" s="14" t="n">
        <v>3</v>
      </c>
      <c r="D13" s="14" t="s">
        <v>235</v>
      </c>
      <c r="E13" s="14" t="s">
        <v>214</v>
      </c>
      <c r="F13" s="14" t="s">
        <v>525</v>
      </c>
      <c r="G13" s="48" t="str">
        <f aca="false">IFERROR(VLOOKUP(A13,①食材库!$B:$I,8,FALSE()),"")</f>
        <v/>
      </c>
      <c r="H13" s="17" t="s">
        <v>543</v>
      </c>
      <c r="I13" s="19" t="s">
        <v>204</v>
      </c>
      <c r="J13" s="14"/>
      <c r="K13" s="14" t="s">
        <v>544</v>
      </c>
    </row>
    <row r="14" customFormat="false" ht="15" hidden="false" customHeight="true" outlineLevel="0" collapsed="false">
      <c r="A14" s="52" t="s">
        <v>545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</row>
    <row r="15" customFormat="false" ht="15" hidden="false" customHeight="true" outlineLevel="0" collapsed="false">
      <c r="A15" s="40" t="s">
        <v>62</v>
      </c>
      <c r="B15" s="11" t="s">
        <v>46</v>
      </c>
      <c r="C15" s="14" t="n">
        <v>454</v>
      </c>
      <c r="D15" s="19" t="s">
        <v>531</v>
      </c>
      <c r="E15" s="14" t="s">
        <v>214</v>
      </c>
      <c r="F15" s="19" t="s">
        <v>546</v>
      </c>
      <c r="G15" s="48" t="str">
        <f aca="false">IFERROR(VLOOKUP(A15,①食材库!$B:$I,8,FALSE()),"")</f>
        <v>是</v>
      </c>
      <c r="H15" s="18" t="s">
        <v>530</v>
      </c>
      <c r="I15" s="19" t="s">
        <v>547</v>
      </c>
      <c r="J15" s="14" t="n">
        <v>12</v>
      </c>
      <c r="K15" s="14"/>
    </row>
    <row r="16" customFormat="false" ht="15" hidden="false" customHeight="true" outlineLevel="0" collapsed="false">
      <c r="A16" s="40" t="s">
        <v>128</v>
      </c>
      <c r="B16" s="11" t="s">
        <v>127</v>
      </c>
      <c r="C16" s="14" t="n">
        <v>2</v>
      </c>
      <c r="D16" s="14" t="s">
        <v>235</v>
      </c>
      <c r="E16" s="14" t="s">
        <v>84</v>
      </c>
      <c r="F16" s="19" t="s">
        <v>546</v>
      </c>
      <c r="G16" s="48" t="str">
        <f aca="false">IFERROR(VLOOKUP(A16,①食材库!$B:$I,8,FALSE()),"")</f>
        <v>否</v>
      </c>
      <c r="H16" s="18" t="s">
        <v>530</v>
      </c>
      <c r="I16" s="19" t="s">
        <v>548</v>
      </c>
      <c r="J16" s="14" t="n">
        <v>5</v>
      </c>
      <c r="K16" s="14"/>
    </row>
    <row r="17" customFormat="false" ht="15" hidden="false" customHeight="true" outlineLevel="0" collapsed="false">
      <c r="A17" s="40" t="s">
        <v>155</v>
      </c>
      <c r="B17" s="11" t="s">
        <v>145</v>
      </c>
      <c r="C17" s="14" t="n">
        <v>1</v>
      </c>
      <c r="D17" s="14" t="s">
        <v>235</v>
      </c>
      <c r="E17" s="14" t="s">
        <v>84</v>
      </c>
      <c r="F17" s="19" t="s">
        <v>546</v>
      </c>
      <c r="G17" s="48" t="str">
        <f aca="false">IFERROR(VLOOKUP(A17,①食材库!$B:$I,8,FALSE()),"")</f>
        <v>否</v>
      </c>
      <c r="H17" s="18" t="s">
        <v>530</v>
      </c>
      <c r="I17" s="19" t="s">
        <v>549</v>
      </c>
      <c r="J17" s="14" t="n">
        <v>1.29</v>
      </c>
      <c r="K17" s="14" t="s">
        <v>550</v>
      </c>
    </row>
    <row r="18" customFormat="false" ht="15" hidden="false" customHeight="true" outlineLevel="0" collapsed="false">
      <c r="A18" s="40" t="s">
        <v>148</v>
      </c>
      <c r="B18" s="11" t="s">
        <v>145</v>
      </c>
      <c r="C18" s="14" t="n">
        <v>142</v>
      </c>
      <c r="D18" s="19" t="s">
        <v>531</v>
      </c>
      <c r="E18" s="14" t="s">
        <v>84</v>
      </c>
      <c r="F18" s="19" t="s">
        <v>546</v>
      </c>
      <c r="G18" s="48" t="str">
        <f aca="false">IFERROR(VLOOKUP(A18,①食材库!$B:$I,8,FALSE()),"")</f>
        <v>否</v>
      </c>
      <c r="H18" s="18" t="s">
        <v>530</v>
      </c>
      <c r="I18" s="19" t="s">
        <v>551</v>
      </c>
      <c r="J18" s="14" t="n">
        <v>3.49</v>
      </c>
      <c r="K18" s="14" t="s">
        <v>552</v>
      </c>
    </row>
    <row r="19" customFormat="false" ht="15" hidden="false" customHeight="true" outlineLevel="0" collapsed="false">
      <c r="A19" s="51" t="s">
        <v>553</v>
      </c>
      <c r="B19" s="11" t="s">
        <v>46</v>
      </c>
      <c r="C19" s="14" t="n">
        <v>454</v>
      </c>
      <c r="D19" s="19" t="s">
        <v>531</v>
      </c>
      <c r="E19" s="14" t="s">
        <v>84</v>
      </c>
      <c r="F19" s="19" t="s">
        <v>546</v>
      </c>
      <c r="G19" s="48" t="str">
        <f aca="false">IFERROR(VLOOKUP(A19,①食材库!$B:$I,8,FALSE()),"")</f>
        <v/>
      </c>
      <c r="H19" s="17" t="s">
        <v>543</v>
      </c>
      <c r="I19" s="19" t="s">
        <v>554</v>
      </c>
      <c r="J19" s="14" t="n">
        <v>7.99</v>
      </c>
      <c r="K19" s="14" t="s">
        <v>555</v>
      </c>
    </row>
    <row r="20" customFormat="false" ht="15" hidden="false" customHeight="true" outlineLevel="0" collapsed="false">
      <c r="A20" s="51" t="s">
        <v>556</v>
      </c>
      <c r="B20" s="11" t="s">
        <v>93</v>
      </c>
      <c r="C20" s="14" t="n">
        <v>499</v>
      </c>
      <c r="D20" s="19" t="s">
        <v>531</v>
      </c>
      <c r="E20" s="14" t="s">
        <v>529</v>
      </c>
      <c r="F20" s="19" t="s">
        <v>546</v>
      </c>
      <c r="G20" s="48" t="str">
        <f aca="false">IFERROR(VLOOKUP(A20,①食材库!$B:$I,8,FALSE()),"")</f>
        <v/>
      </c>
      <c r="H20" s="17" t="s">
        <v>543</v>
      </c>
      <c r="I20" s="19" t="s">
        <v>557</v>
      </c>
      <c r="J20" s="14" t="n">
        <v>3.49</v>
      </c>
      <c r="K20" s="14" t="s">
        <v>558</v>
      </c>
    </row>
    <row r="21" customFormat="false" ht="15" hidden="false" customHeight="true" outlineLevel="0" collapsed="false">
      <c r="A21" s="51" t="s">
        <v>559</v>
      </c>
      <c r="B21" s="11" t="s">
        <v>186</v>
      </c>
      <c r="C21" s="14" t="n">
        <v>1</v>
      </c>
      <c r="D21" s="14" t="s">
        <v>235</v>
      </c>
      <c r="E21" s="14" t="s">
        <v>84</v>
      </c>
      <c r="F21" s="19" t="s">
        <v>546</v>
      </c>
      <c r="G21" s="48" t="str">
        <f aca="false">IFERROR(VLOOKUP(A21,①食材库!$B:$I,8,FALSE()),"")</f>
        <v/>
      </c>
      <c r="H21" s="17" t="s">
        <v>543</v>
      </c>
      <c r="I21" s="19" t="s">
        <v>560</v>
      </c>
      <c r="J21" s="14" t="n">
        <v>1.7</v>
      </c>
      <c r="K21" s="14" t="s">
        <v>561</v>
      </c>
    </row>
    <row r="22" customFormat="false" ht="15" hidden="false" customHeight="true" outlineLevel="0" collapsed="false">
      <c r="A22" s="51" t="s">
        <v>562</v>
      </c>
      <c r="B22" s="11" t="s">
        <v>186</v>
      </c>
      <c r="C22" s="14" t="n">
        <v>1</v>
      </c>
      <c r="D22" s="14" t="s">
        <v>235</v>
      </c>
      <c r="E22" s="14" t="s">
        <v>84</v>
      </c>
      <c r="F22" s="19" t="s">
        <v>546</v>
      </c>
      <c r="G22" s="48" t="str">
        <f aca="false">IFERROR(VLOOKUP(A22,①食材库!$B:$I,8,FALSE()),"")</f>
        <v/>
      </c>
      <c r="H22" s="17" t="s">
        <v>543</v>
      </c>
      <c r="I22" s="19" t="s">
        <v>563</v>
      </c>
      <c r="J22" s="14" t="n">
        <v>2.03</v>
      </c>
      <c r="K22" s="14" t="s">
        <v>561</v>
      </c>
    </row>
    <row r="23" customFormat="false" ht="15" hidden="false" customHeight="true" outlineLevel="0" collapsed="false">
      <c r="A23" s="51" t="s">
        <v>564</v>
      </c>
      <c r="B23" s="11" t="s">
        <v>565</v>
      </c>
      <c r="C23" s="14" t="n">
        <v>1</v>
      </c>
      <c r="D23" s="14" t="s">
        <v>235</v>
      </c>
      <c r="E23" s="14" t="s">
        <v>84</v>
      </c>
      <c r="F23" s="19" t="s">
        <v>546</v>
      </c>
      <c r="G23" s="48" t="str">
        <f aca="false">IFERROR(VLOOKUP(A23,①食材库!$B:$I,8,FALSE()),"")</f>
        <v/>
      </c>
      <c r="H23" s="17" t="s">
        <v>543</v>
      </c>
      <c r="I23" s="19" t="s">
        <v>566</v>
      </c>
      <c r="J23" s="14" t="n">
        <v>0.85</v>
      </c>
      <c r="K23" s="14" t="s">
        <v>561</v>
      </c>
    </row>
    <row r="24" customFormat="false" ht="29.25" hidden="false" customHeight="true" outlineLevel="0" collapsed="false">
      <c r="A24" s="49" t="s">
        <v>567</v>
      </c>
      <c r="B24" s="11" t="s">
        <v>206</v>
      </c>
      <c r="C24" s="14" t="n">
        <v>167</v>
      </c>
      <c r="D24" s="19" t="s">
        <v>531</v>
      </c>
      <c r="E24" s="14" t="s">
        <v>214</v>
      </c>
      <c r="F24" s="19" t="s">
        <v>546</v>
      </c>
      <c r="G24" s="48" t="str">
        <f aca="false">IFERROR(VLOOKUP(A24,①食材库!$B:$I,8,FALSE()),"")</f>
        <v/>
      </c>
      <c r="H24" s="50" t="s">
        <v>568</v>
      </c>
      <c r="I24" s="19" t="s">
        <v>569</v>
      </c>
      <c r="J24" s="14" t="n">
        <v>7.49</v>
      </c>
      <c r="K24" s="14" t="s">
        <v>570</v>
      </c>
    </row>
    <row r="25" customFormat="false" ht="29.25" hidden="false" customHeight="true" outlineLevel="0" collapsed="false">
      <c r="A25" s="49" t="s">
        <v>571</v>
      </c>
      <c r="B25" s="11" t="s">
        <v>206</v>
      </c>
      <c r="C25" s="14" t="n">
        <v>227</v>
      </c>
      <c r="D25" s="19" t="s">
        <v>531</v>
      </c>
      <c r="E25" s="14" t="s">
        <v>214</v>
      </c>
      <c r="F25" s="19" t="s">
        <v>546</v>
      </c>
      <c r="G25" s="48" t="str">
        <f aca="false">IFERROR(VLOOKUP(A25,①食材库!$B:$I,8,FALSE()),"")</f>
        <v/>
      </c>
      <c r="H25" s="50" t="s">
        <v>568</v>
      </c>
      <c r="I25" s="19" t="s">
        <v>572</v>
      </c>
      <c r="J25" s="14" t="n">
        <v>7.49</v>
      </c>
      <c r="K25" s="14" t="s">
        <v>573</v>
      </c>
    </row>
    <row r="27" customFormat="false" ht="15" hidden="false" customHeight="true" outlineLevel="0" collapsed="false">
      <c r="A27" s="53" t="s">
        <v>574</v>
      </c>
      <c r="J27" s="54" t="n">
        <f aca="false">SUM(J4:J25)</f>
        <v>52.82</v>
      </c>
    </row>
  </sheetData>
  <mergeCells count="2">
    <mergeCell ref="A4:K4"/>
    <mergeCell ref="A14:K14"/>
  </mergeCells>
  <dataValidations count="1">
    <dataValidation allowBlank="true" errorStyle="stop" operator="between" showDropDown="false" showErrorMessage="false" showInputMessage="false" sqref="A4:A65" type="list">
      <formula1>①食材库!$B$3:$B$62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8"/>
    <col collapsed="false" customWidth="true" hidden="false" outlineLevel="0" max="3" min="3" style="1" width="16"/>
    <col collapsed="false" customWidth="true" hidden="false" outlineLevel="0" max="4" min="4" style="1" width="7"/>
    <col collapsed="false" customWidth="true" hidden="false" outlineLevel="0" max="5" min="5" style="1" width="11"/>
    <col collapsed="false" customWidth="true" hidden="false" outlineLevel="0" max="9" min="6" style="1" width="10"/>
    <col collapsed="false" customWidth="true" hidden="false" outlineLevel="0" max="12" min="10" style="1" width="9"/>
    <col collapsed="false" customWidth="true" hidden="false" outlineLevel="0" max="13" min="13" style="1" width="18"/>
  </cols>
  <sheetData>
    <row r="1" customFormat="false" ht="21.75" hidden="false" customHeight="true" outlineLevel="0" collapsed="false">
      <c r="A1" s="2" t="s">
        <v>575</v>
      </c>
    </row>
    <row r="2" customFormat="false" ht="15" hidden="false" customHeight="true" outlineLevel="0" collapsed="false">
      <c r="A2" s="3" t="s">
        <v>576</v>
      </c>
    </row>
    <row r="3" customFormat="false" ht="16.5" hidden="false" customHeight="true" outlineLevel="0" collapsed="false">
      <c r="A3" s="9" t="s">
        <v>577</v>
      </c>
      <c r="B3" s="9" t="s">
        <v>389</v>
      </c>
      <c r="C3" s="9" t="s">
        <v>578</v>
      </c>
      <c r="D3" s="9" t="s">
        <v>579</v>
      </c>
      <c r="E3" s="9" t="s">
        <v>580</v>
      </c>
      <c r="F3" s="9" t="s">
        <v>581</v>
      </c>
      <c r="G3" s="9" t="s">
        <v>582</v>
      </c>
      <c r="H3" s="9" t="s">
        <v>583</v>
      </c>
      <c r="I3" s="9" t="s">
        <v>584</v>
      </c>
      <c r="J3" s="9" t="s">
        <v>585</v>
      </c>
      <c r="K3" s="9" t="s">
        <v>586</v>
      </c>
      <c r="L3" s="9" t="s">
        <v>587</v>
      </c>
      <c r="M3" s="9" t="s">
        <v>365</v>
      </c>
    </row>
    <row r="4" customFormat="false" ht="15" hidden="false" customHeight="true" outlineLevel="0" collapsed="false">
      <c r="A4" s="16" t="s">
        <v>588</v>
      </c>
      <c r="B4" s="11" t="s">
        <v>394</v>
      </c>
      <c r="C4" s="11" t="s">
        <v>308</v>
      </c>
      <c r="D4" s="14" t="n">
        <v>1</v>
      </c>
      <c r="E4" s="48" t="n">
        <f aca="false">IFERROR(VLOOKUP($C4,③配方汇总!$A:$K,8,FALSE()),0)</f>
        <v>207</v>
      </c>
      <c r="F4" s="48" t="n">
        <f aca="false">IFERROR(VLOOKUP($C4,③配方汇总!$A:$K,9,FALSE()),0)</f>
        <v>21.1</v>
      </c>
      <c r="G4" s="48" t="n">
        <f aca="false">IFERROR(VLOOKUP($C4,③配方汇总!$A:$K,10,FALSE()),0)</f>
        <v>30.2</v>
      </c>
      <c r="H4" s="48" t="n">
        <f aca="false">IFERROR(VLOOKUP($C4,③配方汇总!$A:$K,11,FALSE()),0)</f>
        <v>0.3</v>
      </c>
      <c r="I4" s="48" t="n">
        <f aca="false">ROUND($D4*E4,0)</f>
        <v>207</v>
      </c>
      <c r="J4" s="48" t="n">
        <f aca="false">ROUND($D4*F4,1)</f>
        <v>21.1</v>
      </c>
      <c r="K4" s="48" t="n">
        <f aca="false">ROUND($D4*G4,1)</f>
        <v>30.2</v>
      </c>
      <c r="L4" s="48" t="n">
        <f aca="false">ROUND($D4*H4,1)</f>
        <v>0.3</v>
      </c>
      <c r="M4" s="14" t="s">
        <v>589</v>
      </c>
    </row>
    <row r="5" customFormat="false" ht="15" hidden="false" customHeight="true" outlineLevel="0" collapsed="false">
      <c r="A5" s="16" t="s">
        <v>588</v>
      </c>
      <c r="B5" s="11" t="s">
        <v>394</v>
      </c>
      <c r="C5" s="11" t="s">
        <v>306</v>
      </c>
      <c r="D5" s="14" t="n">
        <v>1</v>
      </c>
      <c r="E5" s="48" t="n">
        <f aca="false">IFERROR(VLOOKUP($C5,③配方汇总!$A:$K,8,FALSE()),0)</f>
        <v>144</v>
      </c>
      <c r="F5" s="48" t="n">
        <f aca="false">IFERROR(VLOOKUP($C5,③配方汇总!$A:$K,9,FALSE()),0)</f>
        <v>12.6</v>
      </c>
      <c r="G5" s="48" t="n">
        <f aca="false">IFERROR(VLOOKUP($C5,③配方汇总!$A:$K,10,FALSE()),0)</f>
        <v>0.8</v>
      </c>
      <c r="H5" s="48" t="n">
        <f aca="false">IFERROR(VLOOKUP($C5,③配方汇总!$A:$K,11,FALSE()),0)</f>
        <v>9.6</v>
      </c>
      <c r="I5" s="48" t="n">
        <f aca="false">ROUND($D5*E5,0)</f>
        <v>144</v>
      </c>
      <c r="J5" s="48" t="n">
        <f aca="false">ROUND($D5*F5,1)</f>
        <v>12.6</v>
      </c>
      <c r="K5" s="48" t="n">
        <f aca="false">ROUND($D5*G5,1)</f>
        <v>0.8</v>
      </c>
      <c r="L5" s="48" t="n">
        <f aca="false">ROUND($D5*H5,1)</f>
        <v>9.6</v>
      </c>
      <c r="M5" s="19" t="s">
        <v>590</v>
      </c>
    </row>
    <row r="6" customFormat="false" ht="15" hidden="false" customHeight="true" outlineLevel="0" collapsed="false">
      <c r="A6" s="16" t="s">
        <v>588</v>
      </c>
      <c r="B6" s="11" t="s">
        <v>399</v>
      </c>
      <c r="C6" s="11" t="s">
        <v>256</v>
      </c>
      <c r="D6" s="14" t="n">
        <v>1</v>
      </c>
      <c r="E6" s="48" t="n">
        <f aca="false">IFERROR(VLOOKUP($C6,③配方汇总!$A:$K,8,FALSE()),0)</f>
        <v>278</v>
      </c>
      <c r="F6" s="48" t="n">
        <f aca="false">IFERROR(VLOOKUP($C6,③配方汇总!$A:$K,9,FALSE()),0)</f>
        <v>18.9</v>
      </c>
      <c r="G6" s="48" t="n">
        <f aca="false">IFERROR(VLOOKUP($C6,③配方汇总!$A:$K,10,FALSE()),0)</f>
        <v>4.7</v>
      </c>
      <c r="H6" s="48" t="n">
        <f aca="false">IFERROR(VLOOKUP($C6,③配方汇总!$A:$K,11,FALSE()),0)</f>
        <v>20.9</v>
      </c>
      <c r="I6" s="48" t="n">
        <f aca="false">ROUND($D6*E6,0)</f>
        <v>278</v>
      </c>
      <c r="J6" s="48" t="n">
        <f aca="false">ROUND($D6*F6,1)</f>
        <v>18.9</v>
      </c>
      <c r="K6" s="48" t="n">
        <f aca="false">ROUND($D6*G6,1)</f>
        <v>4.7</v>
      </c>
      <c r="L6" s="48" t="n">
        <f aca="false">ROUND($D6*H6,1)</f>
        <v>20.9</v>
      </c>
      <c r="M6" s="14" t="s">
        <v>591</v>
      </c>
    </row>
    <row r="7" customFormat="false" ht="15" hidden="false" customHeight="true" outlineLevel="0" collapsed="false">
      <c r="A7" s="16" t="s">
        <v>588</v>
      </c>
      <c r="B7" s="11" t="s">
        <v>399</v>
      </c>
      <c r="C7" s="11" t="s">
        <v>286</v>
      </c>
      <c r="D7" s="14" t="n">
        <v>0.5</v>
      </c>
      <c r="E7" s="48" t="n">
        <f aca="false">IFERROR(VLOOKUP($C7,③配方汇总!$A:$K,8,FALSE()),0)</f>
        <v>195</v>
      </c>
      <c r="F7" s="48" t="n">
        <f aca="false">IFERROR(VLOOKUP($C7,③配方汇总!$A:$K,9,FALSE()),0)</f>
        <v>4.1</v>
      </c>
      <c r="G7" s="48" t="n">
        <f aca="false">IFERROR(VLOOKUP($C7,③配方汇总!$A:$K,10,FALSE()),0)</f>
        <v>42</v>
      </c>
      <c r="H7" s="48" t="n">
        <f aca="false">IFERROR(VLOOKUP($C7,③配方汇总!$A:$K,11,FALSE()),0)</f>
        <v>0.5</v>
      </c>
      <c r="I7" s="48" t="n">
        <f aca="false">ROUND($D7*E7,0)</f>
        <v>98</v>
      </c>
      <c r="J7" s="48" t="n">
        <f aca="false">ROUND($D7*F7,1)</f>
        <v>2.1</v>
      </c>
      <c r="K7" s="48" t="n">
        <f aca="false">ROUND($D7*G7,1)</f>
        <v>21</v>
      </c>
      <c r="L7" s="48" t="n">
        <f aca="false">ROUND($D7*H7,1)</f>
        <v>0.3</v>
      </c>
      <c r="M7" s="19" t="s">
        <v>592</v>
      </c>
    </row>
    <row r="8" customFormat="false" ht="15" hidden="false" customHeight="true" outlineLevel="0" collapsed="false">
      <c r="A8" s="16" t="s">
        <v>588</v>
      </c>
      <c r="B8" s="11" t="s">
        <v>399</v>
      </c>
      <c r="C8" s="11" t="s">
        <v>273</v>
      </c>
      <c r="D8" s="14" t="n">
        <v>1</v>
      </c>
      <c r="E8" s="48" t="n">
        <f aca="false">IFERROR(VLOOKUP($C8,③配方汇总!$A:$K,8,FALSE()),0)</f>
        <v>112</v>
      </c>
      <c r="F8" s="48" t="n">
        <f aca="false">IFERROR(VLOOKUP($C8,③配方汇总!$A:$K,9,FALSE()),0)</f>
        <v>7</v>
      </c>
      <c r="G8" s="48" t="n">
        <f aca="false">IFERROR(VLOOKUP($C8,③配方汇总!$A:$K,10,FALSE()),0)</f>
        <v>17.5</v>
      </c>
      <c r="H8" s="48" t="n">
        <f aca="false">IFERROR(VLOOKUP($C8,③配方汇总!$A:$K,11,FALSE()),0)</f>
        <v>4</v>
      </c>
      <c r="I8" s="48" t="n">
        <f aca="false">ROUND($D8*E8,0)</f>
        <v>112</v>
      </c>
      <c r="J8" s="48" t="n">
        <f aca="false">ROUND($D8*F8,1)</f>
        <v>7</v>
      </c>
      <c r="K8" s="48" t="n">
        <f aca="false">ROUND($D8*G8,1)</f>
        <v>17.5</v>
      </c>
      <c r="L8" s="48" t="n">
        <f aca="false">ROUND($D8*H8,1)</f>
        <v>4</v>
      </c>
      <c r="M8" s="14" t="s">
        <v>593</v>
      </c>
    </row>
    <row r="9" customFormat="false" ht="15" hidden="false" customHeight="true" outlineLevel="0" collapsed="false">
      <c r="A9" s="16" t="s">
        <v>588</v>
      </c>
      <c r="B9" s="11" t="s">
        <v>407</v>
      </c>
      <c r="C9" s="11" t="s">
        <v>309</v>
      </c>
      <c r="D9" s="14" t="n">
        <v>1</v>
      </c>
      <c r="E9" s="48" t="n">
        <f aca="false">IFERROR(VLOOKUP($C9,③配方汇总!$A:$K,8,FALSE()),0)</f>
        <v>90</v>
      </c>
      <c r="F9" s="48" t="n">
        <f aca="false">IFERROR(VLOOKUP($C9,③配方汇总!$A:$K,9,FALSE()),0)</f>
        <v>3</v>
      </c>
      <c r="G9" s="48" t="n">
        <f aca="false">IFERROR(VLOOKUP($C9,③配方汇总!$A:$K,10,FALSE()),0)</f>
        <v>3</v>
      </c>
      <c r="H9" s="48" t="n">
        <f aca="false">IFERROR(VLOOKUP($C9,③配方汇总!$A:$K,11,FALSE()),0)</f>
        <v>7.5</v>
      </c>
      <c r="I9" s="48" t="n">
        <f aca="false">ROUND($D9*E9,0)</f>
        <v>90</v>
      </c>
      <c r="J9" s="48" t="n">
        <f aca="false">ROUND($D9*F9,1)</f>
        <v>3</v>
      </c>
      <c r="K9" s="48" t="n">
        <f aca="false">ROUND($D9*G9,1)</f>
        <v>3</v>
      </c>
      <c r="L9" s="48" t="n">
        <f aca="false">ROUND($D9*H9,1)</f>
        <v>7.5</v>
      </c>
      <c r="M9" s="19" t="s">
        <v>594</v>
      </c>
    </row>
    <row r="10" customFormat="false" ht="15" hidden="false" customHeight="true" outlineLevel="0" collapsed="false">
      <c r="A10" s="16" t="s">
        <v>588</v>
      </c>
      <c r="B10" s="11" t="s">
        <v>403</v>
      </c>
      <c r="C10" s="11" t="s">
        <v>271</v>
      </c>
      <c r="D10" s="14" t="n">
        <v>1</v>
      </c>
      <c r="E10" s="48" t="n">
        <f aca="false">IFERROR(VLOOKUP($C10,③配方汇总!$A:$K,8,FALSE()),0)</f>
        <v>443</v>
      </c>
      <c r="F10" s="48" t="n">
        <f aca="false">IFERROR(VLOOKUP($C10,③配方汇总!$A:$K,9,FALSE()),0)</f>
        <v>40</v>
      </c>
      <c r="G10" s="48" t="n">
        <f aca="false">IFERROR(VLOOKUP($C10,③配方汇总!$A:$K,10,FALSE()),0)</f>
        <v>0</v>
      </c>
      <c r="H10" s="48" t="n">
        <f aca="false">IFERROR(VLOOKUP($C10,③配方汇总!$A:$K,11,FALSE()),0)</f>
        <v>29</v>
      </c>
      <c r="I10" s="48" t="n">
        <f aca="false">ROUND($D10*E10,0)</f>
        <v>443</v>
      </c>
      <c r="J10" s="48" t="n">
        <f aca="false">ROUND($D10*F10,1)</f>
        <v>40</v>
      </c>
      <c r="K10" s="48" t="n">
        <f aca="false">ROUND($D10*G10,1)</f>
        <v>0</v>
      </c>
      <c r="L10" s="48" t="n">
        <f aca="false">ROUND($D10*H10,1)</f>
        <v>29</v>
      </c>
      <c r="M10" s="14" t="s">
        <v>595</v>
      </c>
    </row>
    <row r="11" customFormat="false" ht="15" hidden="false" customHeight="true" outlineLevel="0" collapsed="false">
      <c r="A11" s="16" t="s">
        <v>588</v>
      </c>
      <c r="B11" s="11" t="s">
        <v>403</v>
      </c>
      <c r="C11" s="11" t="s">
        <v>286</v>
      </c>
      <c r="D11" s="14" t="n">
        <v>0.5</v>
      </c>
      <c r="E11" s="48" t="n">
        <f aca="false">IFERROR(VLOOKUP($C11,③配方汇总!$A:$K,8,FALSE()),0)</f>
        <v>195</v>
      </c>
      <c r="F11" s="48" t="n">
        <f aca="false">IFERROR(VLOOKUP($C11,③配方汇总!$A:$K,9,FALSE()),0)</f>
        <v>4.1</v>
      </c>
      <c r="G11" s="48" t="n">
        <f aca="false">IFERROR(VLOOKUP($C11,③配方汇总!$A:$K,10,FALSE()),0)</f>
        <v>42</v>
      </c>
      <c r="H11" s="48" t="n">
        <f aca="false">IFERROR(VLOOKUP($C11,③配方汇总!$A:$K,11,FALSE()),0)</f>
        <v>0.5</v>
      </c>
      <c r="I11" s="48" t="n">
        <f aca="false">ROUND($D11*E11,0)</f>
        <v>98</v>
      </c>
      <c r="J11" s="48" t="n">
        <f aca="false">ROUND($D11*F11,1)</f>
        <v>2.1</v>
      </c>
      <c r="K11" s="48" t="n">
        <f aca="false">ROUND($D11*G11,1)</f>
        <v>21</v>
      </c>
      <c r="L11" s="48" t="n">
        <f aca="false">ROUND($D11*H11,1)</f>
        <v>0.3</v>
      </c>
      <c r="M11" s="19" t="s">
        <v>592</v>
      </c>
    </row>
    <row r="12" customFormat="false" ht="15" hidden="false" customHeight="true" outlineLevel="0" collapsed="false">
      <c r="A12" s="16" t="s">
        <v>588</v>
      </c>
      <c r="B12" s="11" t="s">
        <v>403</v>
      </c>
      <c r="C12" s="11" t="s">
        <v>274</v>
      </c>
      <c r="D12" s="14" t="n">
        <v>1</v>
      </c>
      <c r="E12" s="48" t="n">
        <f aca="false">IFERROR(VLOOKUP($C12,③配方汇总!$A:$K,8,FALSE()),0)</f>
        <v>73</v>
      </c>
      <c r="F12" s="48" t="n">
        <f aca="false">IFERROR(VLOOKUP($C12,③配方汇总!$A:$K,9,FALSE()),0)</f>
        <v>5.8</v>
      </c>
      <c r="G12" s="48" t="n">
        <f aca="false">IFERROR(VLOOKUP($C12,③配方汇总!$A:$K,10,FALSE()),0)</f>
        <v>7.2</v>
      </c>
      <c r="H12" s="48" t="n">
        <f aca="false">IFERROR(VLOOKUP($C12,③配方汇总!$A:$K,11,FALSE()),0)</f>
        <v>3.8</v>
      </c>
      <c r="I12" s="48" t="n">
        <f aca="false">ROUND($D12*E12,0)</f>
        <v>73</v>
      </c>
      <c r="J12" s="48" t="n">
        <f aca="false">ROUND($D12*F12,1)</f>
        <v>5.8</v>
      </c>
      <c r="K12" s="48" t="n">
        <f aca="false">ROUND($D12*G12,1)</f>
        <v>7.2</v>
      </c>
      <c r="L12" s="48" t="n">
        <f aca="false">ROUND($D12*H12,1)</f>
        <v>3.8</v>
      </c>
      <c r="M12" s="14" t="s">
        <v>593</v>
      </c>
    </row>
    <row r="14" customFormat="false" ht="15" hidden="false" customHeight="true" outlineLevel="0" collapsed="false">
      <c r="C14" s="10" t="s">
        <v>596</v>
      </c>
      <c r="I14" s="55" t="n">
        <f aca="false">SUMIF($A4:$A12,"6/4",I4:I12)</f>
        <v>1543</v>
      </c>
      <c r="J14" s="55" t="n">
        <f aca="false">ROUND(SUMIF($A4:$A12,"6/4",J4:J12),1)</f>
        <v>112.6</v>
      </c>
      <c r="K14" s="55" t="n">
        <f aca="false">ROUND(SUMIF($A4:$A12,"6/4",K4:K12),1)</f>
        <v>105.4</v>
      </c>
      <c r="L14" s="55" t="n">
        <f aca="false">ROUND(SUMIF($A4:$A12,"6/4",L4:L12),1)</f>
        <v>75.7</v>
      </c>
    </row>
    <row r="15" customFormat="false" ht="29.25" hidden="false" customHeight="true" outlineLevel="0" collapsed="false">
      <c r="C15" s="11" t="s">
        <v>597</v>
      </c>
      <c r="I15" s="19" t="s">
        <v>598</v>
      </c>
      <c r="J15" s="14" t="n">
        <v>110</v>
      </c>
      <c r="M15" s="11" t="s">
        <v>599</v>
      </c>
    </row>
    <row r="17" customFormat="false" ht="15" hidden="false" customHeight="true" outlineLevel="0" collapsed="false">
      <c r="A17" s="16" t="s">
        <v>600</v>
      </c>
      <c r="B17" s="11" t="s">
        <v>394</v>
      </c>
      <c r="C17" s="16" t="s">
        <v>204</v>
      </c>
      <c r="D17" s="14" t="n">
        <v>1</v>
      </c>
      <c r="E17" s="32" t="n">
        <f aca="false">IFERROR(VLOOKUP($C17,③配方汇总!$A:$K,8,FALSE()),0)</f>
        <v>285</v>
      </c>
      <c r="F17" s="32" t="n">
        <f aca="false">IFERROR(VLOOKUP($C17,③配方汇总!$A:$K,9,FALSE()),0)</f>
        <v>10.5</v>
      </c>
      <c r="G17" s="32" t="n">
        <f aca="false">IFERROR(VLOOKUP($C17,③配方汇总!$A:$K,10,FALSE()),0)</f>
        <v>56</v>
      </c>
      <c r="H17" s="32" t="n">
        <f aca="false">IFERROR(VLOOKUP($C17,③配方汇总!$A:$K,11,FALSE()),0)</f>
        <v>3.8</v>
      </c>
      <c r="I17" s="32" t="n">
        <f aca="false">ROUND($D17*E17,0)</f>
        <v>285</v>
      </c>
      <c r="J17" s="32" t="n">
        <f aca="false">ROUND($D17*F17,1)</f>
        <v>10.5</v>
      </c>
      <c r="K17" s="32" t="n">
        <f aca="false">ROUND($D17*G17,1)</f>
        <v>56</v>
      </c>
      <c r="L17" s="32" t="n">
        <f aca="false">ROUND($D17*H17,1)</f>
        <v>3.8</v>
      </c>
      <c r="M17" s="14" t="s">
        <v>601</v>
      </c>
    </row>
    <row r="18" customFormat="false" ht="29.25" hidden="false" customHeight="true" outlineLevel="0" collapsed="false">
      <c r="A18" s="16" t="s">
        <v>600</v>
      </c>
      <c r="B18" s="11" t="s">
        <v>399</v>
      </c>
      <c r="C18" s="16" t="s">
        <v>312</v>
      </c>
      <c r="D18" s="14" t="n">
        <v>3</v>
      </c>
      <c r="E18" s="32" t="n">
        <f aca="false">IFERROR(VLOOKUP($C18,③配方汇总!$A:$K,8,FALSE()),0)</f>
        <v>170</v>
      </c>
      <c r="F18" s="32" t="n">
        <f aca="false">IFERROR(VLOOKUP($C18,③配方汇总!$A:$K,9,FALSE()),0)</f>
        <v>2</v>
      </c>
      <c r="G18" s="32" t="n">
        <f aca="false">IFERROR(VLOOKUP($C18,③配方汇总!$A:$K,10,FALSE()),0)</f>
        <v>23</v>
      </c>
      <c r="H18" s="32" t="n">
        <f aca="false">IFERROR(VLOOKUP($C18,③配方汇总!$A:$K,11,FALSE()),0)</f>
        <v>7</v>
      </c>
      <c r="I18" s="32" t="n">
        <f aca="false">ROUND($D18*E18,0)</f>
        <v>510</v>
      </c>
      <c r="J18" s="32" t="n">
        <f aca="false">ROUND($D18*F18,1)</f>
        <v>6</v>
      </c>
      <c r="K18" s="32" t="n">
        <f aca="false">ROUND($D18*G18,1)</f>
        <v>69</v>
      </c>
      <c r="L18" s="32" t="n">
        <f aca="false">ROUND($D18*H18,1)</f>
        <v>21</v>
      </c>
      <c r="M18" s="14" t="s">
        <v>602</v>
      </c>
    </row>
    <row r="19" customFormat="false" ht="29.25" hidden="false" customHeight="true" outlineLevel="0" collapsed="false">
      <c r="A19" s="16" t="s">
        <v>600</v>
      </c>
      <c r="B19" s="11" t="s">
        <v>403</v>
      </c>
      <c r="C19" s="11" t="s">
        <v>314</v>
      </c>
      <c r="D19" s="14" t="n">
        <v>1</v>
      </c>
      <c r="E19" s="32" t="n">
        <f aca="false">IFERROR(VLOOKUP($C19,③配方汇总!$A:$K,8,FALSE()),0)</f>
        <v>513</v>
      </c>
      <c r="F19" s="32" t="n">
        <f aca="false">IFERROR(VLOOKUP($C19,③配方汇总!$A:$K,9,FALSE()),0)</f>
        <v>30.4</v>
      </c>
      <c r="G19" s="32" t="n">
        <f aca="false">IFERROR(VLOOKUP($C19,③配方汇总!$A:$K,10,FALSE()),0)</f>
        <v>74.9</v>
      </c>
      <c r="H19" s="32" t="n">
        <f aca="false">IFERROR(VLOOKUP($C19,③配方汇总!$A:$K,11,FALSE()),0)</f>
        <v>10.4</v>
      </c>
      <c r="I19" s="32" t="n">
        <f aca="false">ROUND($D19*E19,0)</f>
        <v>513</v>
      </c>
      <c r="J19" s="32" t="n">
        <f aca="false">ROUND($D19*F19,1)</f>
        <v>30.4</v>
      </c>
      <c r="K19" s="32" t="n">
        <f aca="false">ROUND($D19*G19,1)</f>
        <v>74.9</v>
      </c>
      <c r="L19" s="32" t="n">
        <f aca="false">ROUND($D19*H19,1)</f>
        <v>10.4</v>
      </c>
      <c r="M19" s="14" t="s">
        <v>603</v>
      </c>
    </row>
    <row r="20" customFormat="false" ht="15" hidden="false" customHeight="true" outlineLevel="0" collapsed="false">
      <c r="C20" s="10" t="s">
        <v>604</v>
      </c>
      <c r="I20" s="55" t="n">
        <f aca="false">SUMIF($A17:$A19,"6/25",I17:I19)</f>
        <v>1308</v>
      </c>
      <c r="J20" s="55" t="n">
        <f aca="false">ROUND(SUMIF($A17:$A19,"6/25",J17:J19),1)</f>
        <v>46.9</v>
      </c>
      <c r="K20" s="55" t="n">
        <f aca="false">ROUND(SUMIF($A17:$A19,"6/25",K17:K19),1)</f>
        <v>199.9</v>
      </c>
      <c r="L20" s="55" t="n">
        <f aca="false">ROUND(SUMIF($A17:$A19,"6/25",L17:L19),1)</f>
        <v>35.2</v>
      </c>
    </row>
    <row r="21" customFormat="false" ht="15" hidden="false" customHeight="true" outlineLevel="0" collapsed="false">
      <c r="C21" s="11" t="s">
        <v>597</v>
      </c>
      <c r="I21" s="19" t="s">
        <v>598</v>
      </c>
      <c r="J21" s="14" t="n">
        <v>110</v>
      </c>
      <c r="M21" s="11" t="s">
        <v>605</v>
      </c>
    </row>
    <row r="23" customFormat="false" ht="29.25" hidden="false" customHeight="true" outlineLevel="0" collapsed="false">
      <c r="A23" s="16" t="s">
        <v>606</v>
      </c>
      <c r="B23" s="11" t="s">
        <v>607</v>
      </c>
      <c r="C23" s="11" t="s">
        <v>321</v>
      </c>
      <c r="D23" s="14" t="n">
        <v>1</v>
      </c>
      <c r="E23" s="32" t="n">
        <f aca="false">IFERROR(VLOOKUP($C23,③配方汇总!$A:$K,8,FALSE()),0)</f>
        <v>175</v>
      </c>
      <c r="F23" s="32" t="n">
        <f aca="false">IFERROR(VLOOKUP($C23,③配方汇总!$A:$K,9,FALSE()),0)</f>
        <v>18.3</v>
      </c>
      <c r="G23" s="32" t="n">
        <f aca="false">IFERROR(VLOOKUP($C23,③配方汇总!$A:$K,10,FALSE()),0)</f>
        <v>19.8</v>
      </c>
      <c r="H23" s="32" t="n">
        <f aca="false">IFERROR(VLOOKUP($C23,③配方汇总!$A:$K,11,FALSE()),0)</f>
        <v>1.8</v>
      </c>
      <c r="I23" s="32" t="n">
        <f aca="false">ROUND($D23*E23,0)</f>
        <v>175</v>
      </c>
      <c r="J23" s="32" t="n">
        <f aca="false">ROUND($D23*F23,1)</f>
        <v>18.3</v>
      </c>
      <c r="K23" s="32" t="n">
        <f aca="false">ROUND($D23*G23,1)</f>
        <v>19.8</v>
      </c>
      <c r="L23" s="32" t="n">
        <f aca="false">ROUND($D23*H23,1)</f>
        <v>1.8</v>
      </c>
      <c r="M23" s="14" t="s">
        <v>608</v>
      </c>
    </row>
    <row r="24" customFormat="false" ht="29.25" hidden="false" customHeight="true" outlineLevel="0" collapsed="false">
      <c r="A24" s="16" t="s">
        <v>606</v>
      </c>
      <c r="B24" s="11" t="s">
        <v>403</v>
      </c>
      <c r="C24" s="11" t="s">
        <v>325</v>
      </c>
      <c r="D24" s="14" t="n">
        <v>1</v>
      </c>
      <c r="E24" s="32" t="n">
        <f aca="false">IFERROR(VLOOKUP($C24,③配方汇总!$A:$K,8,FALSE()),0)</f>
        <v>895</v>
      </c>
      <c r="F24" s="32" t="n">
        <f aca="false">IFERROR(VLOOKUP($C24,③配方汇总!$A:$K,9,FALSE()),0)</f>
        <v>63.9</v>
      </c>
      <c r="G24" s="32" t="n">
        <f aca="false">IFERROR(VLOOKUP($C24,③配方汇总!$A:$K,10,FALSE()),0)</f>
        <v>83</v>
      </c>
      <c r="H24" s="32" t="n">
        <f aca="false">IFERROR(VLOOKUP($C24,③配方汇总!$A:$K,11,FALSE()),0)</f>
        <v>31.8</v>
      </c>
      <c r="I24" s="32" t="n">
        <f aca="false">ROUND($D24*E24,0)</f>
        <v>895</v>
      </c>
      <c r="J24" s="32" t="n">
        <f aca="false">ROUND($D24*F24,1)</f>
        <v>63.9</v>
      </c>
      <c r="K24" s="32" t="n">
        <f aca="false">ROUND($D24*G24,1)</f>
        <v>83</v>
      </c>
      <c r="L24" s="32" t="n">
        <f aca="false">ROUND($D24*H24,1)</f>
        <v>31.8</v>
      </c>
      <c r="M24" s="14" t="s">
        <v>609</v>
      </c>
    </row>
    <row r="25" customFormat="false" ht="15" hidden="false" customHeight="true" outlineLevel="0" collapsed="false">
      <c r="C25" s="10" t="s">
        <v>610</v>
      </c>
      <c r="I25" s="55" t="n">
        <f aca="false">SUMIF($A23:$A24,"6/26",I23:I24)</f>
        <v>1070</v>
      </c>
      <c r="J25" s="55" t="n">
        <f aca="false">ROUND(SUMIF($A23:$A24,"6/26",J23:J24),1)</f>
        <v>82.2</v>
      </c>
      <c r="K25" s="55" t="n">
        <f aca="false">ROUND(SUMIF($A23:$A24,"6/26",K23:K24),1)</f>
        <v>102.8</v>
      </c>
      <c r="L25" s="55" t="n">
        <f aca="false">ROUND(SUMIF($A23:$A24,"6/26",L23:L24),1)</f>
        <v>33.6</v>
      </c>
    </row>
    <row r="26" customFormat="false" ht="15" hidden="false" customHeight="true" outlineLevel="0" collapsed="false">
      <c r="C26" s="11" t="s">
        <v>597</v>
      </c>
      <c r="I26" s="19" t="s">
        <v>598</v>
      </c>
      <c r="J26" s="14" t="n">
        <v>110</v>
      </c>
      <c r="M26" s="11" t="s">
        <v>605</v>
      </c>
    </row>
    <row r="28" customFormat="false" ht="15" hidden="false" customHeight="true" outlineLevel="0" collapsed="false">
      <c r="A28" s="16" t="s">
        <v>611</v>
      </c>
      <c r="B28" s="11" t="s">
        <v>607</v>
      </c>
      <c r="C28" s="11" t="s">
        <v>330</v>
      </c>
      <c r="D28" s="14" t="n">
        <v>1</v>
      </c>
      <c r="E28" s="32" t="n">
        <f aca="false">IFERROR(VLOOKUP($C28,③配方汇总!$A:$K,8,FALSE()),0)</f>
        <v>265</v>
      </c>
      <c r="F28" s="32" t="n">
        <f aca="false">IFERROR(VLOOKUP($C28,③配方汇总!$A:$K,9,FALSE()),0)</f>
        <v>11.6</v>
      </c>
      <c r="G28" s="32" t="n">
        <f aca="false">IFERROR(VLOOKUP($C28,③配方汇总!$A:$K,10,FALSE()),0)</f>
        <v>40.7</v>
      </c>
      <c r="H28" s="32" t="n">
        <f aca="false">IFERROR(VLOOKUP($C28,③配方汇总!$A:$K,11,FALSE()),0)</f>
        <v>6.5</v>
      </c>
      <c r="I28" s="32" t="n">
        <f aca="false">ROUND($D28*E28,0)</f>
        <v>265</v>
      </c>
      <c r="J28" s="32" t="n">
        <f aca="false">ROUND($D28*F28,1)</f>
        <v>11.6</v>
      </c>
      <c r="K28" s="32" t="n">
        <f aca="false">ROUND($D28*G28,1)</f>
        <v>40.7</v>
      </c>
      <c r="L28" s="32" t="n">
        <f aca="false">ROUND($D28*H28,1)</f>
        <v>6.5</v>
      </c>
      <c r="M28" s="14" t="s">
        <v>612</v>
      </c>
    </row>
    <row r="29" customFormat="false" ht="29.25" hidden="false" customHeight="true" outlineLevel="0" collapsed="false">
      <c r="A29" s="16" t="s">
        <v>611</v>
      </c>
      <c r="B29" s="11" t="s">
        <v>407</v>
      </c>
      <c r="C29" s="11" t="s">
        <v>337</v>
      </c>
      <c r="D29" s="14" t="n">
        <v>1</v>
      </c>
      <c r="E29" s="32" t="n">
        <f aca="false">IFERROR(VLOOKUP($C29,③配方汇总!$A:$K,8,FALSE()),0)</f>
        <v>201</v>
      </c>
      <c r="F29" s="32" t="n">
        <f aca="false">IFERROR(VLOOKUP($C29,③配方汇总!$A:$K,9,FALSE()),0)</f>
        <v>2.1</v>
      </c>
      <c r="G29" s="32" t="n">
        <f aca="false">IFERROR(VLOOKUP($C29,③配方汇总!$A:$K,10,FALSE()),0)</f>
        <v>27</v>
      </c>
      <c r="H29" s="32" t="n">
        <f aca="false">IFERROR(VLOOKUP($C29,③配方汇总!$A:$K,11,FALSE()),0)</f>
        <v>9.6</v>
      </c>
      <c r="I29" s="32" t="n">
        <f aca="false">ROUND($D29*E29,0)</f>
        <v>201</v>
      </c>
      <c r="J29" s="32" t="n">
        <f aca="false">ROUND($D29*F29,1)</f>
        <v>2.1</v>
      </c>
      <c r="K29" s="32" t="n">
        <f aca="false">ROUND($D29*G29,1)</f>
        <v>27</v>
      </c>
      <c r="L29" s="32" t="n">
        <f aca="false">ROUND($D29*H29,1)</f>
        <v>9.6</v>
      </c>
      <c r="M29" s="14" t="s">
        <v>613</v>
      </c>
    </row>
    <row r="30" customFormat="false" ht="29.25" hidden="false" customHeight="true" outlineLevel="0" collapsed="false">
      <c r="A30" s="16" t="s">
        <v>611</v>
      </c>
      <c r="B30" s="11" t="s">
        <v>403</v>
      </c>
      <c r="C30" s="11" t="s">
        <v>333</v>
      </c>
      <c r="D30" s="14" t="n">
        <v>1</v>
      </c>
      <c r="E30" s="32" t="n">
        <f aca="false">IFERROR(VLOOKUP($C30,③配方汇总!$A:$K,8,FALSE()),0)</f>
        <v>655</v>
      </c>
      <c r="F30" s="32" t="n">
        <f aca="false">IFERROR(VLOOKUP($C30,③配方汇总!$A:$K,9,FALSE()),0)</f>
        <v>39</v>
      </c>
      <c r="G30" s="32" t="n">
        <f aca="false">IFERROR(VLOOKUP($C30,③配方汇总!$A:$K,10,FALSE()),0)</f>
        <v>88.8</v>
      </c>
      <c r="H30" s="32" t="n">
        <f aca="false">IFERROR(VLOOKUP($C30,③配方汇总!$A:$K,11,FALSE()),0)</f>
        <v>15.9</v>
      </c>
      <c r="I30" s="32" t="n">
        <f aca="false">ROUND($D30*E30,0)</f>
        <v>655</v>
      </c>
      <c r="J30" s="32" t="n">
        <f aca="false">ROUND($D30*F30,1)</f>
        <v>39</v>
      </c>
      <c r="K30" s="32" t="n">
        <f aca="false">ROUND($D30*G30,1)</f>
        <v>88.8</v>
      </c>
      <c r="L30" s="32" t="n">
        <f aca="false">ROUND($D30*H30,1)</f>
        <v>15.9</v>
      </c>
      <c r="M30" s="14" t="s">
        <v>614</v>
      </c>
    </row>
    <row r="31" customFormat="false" ht="15" hidden="false" customHeight="true" outlineLevel="0" collapsed="false">
      <c r="C31" s="10" t="s">
        <v>615</v>
      </c>
      <c r="I31" s="55" t="n">
        <f aca="false">SUMIF($A28:$A30,"6/27",I28:I30)</f>
        <v>1121</v>
      </c>
      <c r="J31" s="55" t="n">
        <f aca="false">ROUND(SUMIF($A28:$A30,"6/27",J28:J30),1)</f>
        <v>52.7</v>
      </c>
      <c r="K31" s="55" t="n">
        <f aca="false">ROUND(SUMIF($A28:$A30,"6/27",K28:K30),1)</f>
        <v>156.5</v>
      </c>
      <c r="L31" s="55" t="n">
        <f aca="false">ROUND(SUMIF($A28:$A30,"6/27",L28:L30),1)</f>
        <v>32</v>
      </c>
    </row>
    <row r="32" customFormat="false" ht="15" hidden="false" customHeight="true" outlineLevel="0" collapsed="false">
      <c r="C32" s="11" t="s">
        <v>597</v>
      </c>
      <c r="I32" s="19" t="s">
        <v>598</v>
      </c>
      <c r="J32" s="14" t="n">
        <v>110</v>
      </c>
      <c r="M32" s="11" t="s">
        <v>605</v>
      </c>
    </row>
    <row r="34" customFormat="false" ht="15" hidden="false" customHeight="false" outlineLevel="0" collapsed="false">
      <c r="A34" s="16" t="s">
        <v>616</v>
      </c>
      <c r="B34" s="21" t="s">
        <v>607</v>
      </c>
      <c r="C34" s="21" t="s">
        <v>339</v>
      </c>
      <c r="D34" s="22" t="n">
        <v>1</v>
      </c>
      <c r="E34" s="32" t="n">
        <f aca="false">IFERROR(VLOOKUP($C34,③配方汇总!$A:$K,8,FALSE()),0)</f>
        <v>748</v>
      </c>
      <c r="F34" s="32" t="n">
        <f aca="false">IFERROR(VLOOKUP($C34,③配方汇总!$A:$K,9,FALSE()),0)</f>
        <v>37.7</v>
      </c>
      <c r="G34" s="32" t="n">
        <f aca="false">IFERROR(VLOOKUP($C34,③配方汇总!$A:$K,10,FALSE()),0)</f>
        <v>53.1</v>
      </c>
      <c r="H34" s="32" t="n">
        <f aca="false">IFERROR(VLOOKUP($C34,③配方汇总!$A:$K,11,FALSE()),0)</f>
        <v>44.4</v>
      </c>
      <c r="I34" s="32" t="n">
        <f aca="false">ROUND($D34*E34,0)</f>
        <v>748</v>
      </c>
      <c r="J34" s="32" t="n">
        <f aca="false">ROUND($D34*F34,1)</f>
        <v>37.7</v>
      </c>
      <c r="K34" s="32" t="n">
        <f aca="false">ROUND($D34*G34,1)</f>
        <v>53.1</v>
      </c>
      <c r="L34" s="32" t="n">
        <f aca="false">ROUND($D34*H34,1)</f>
        <v>44.4</v>
      </c>
      <c r="M34" s="22" t="s">
        <v>617</v>
      </c>
    </row>
    <row r="35" customFormat="false" ht="15" hidden="false" customHeight="false" outlineLevel="0" collapsed="false">
      <c r="A35" s="16" t="s">
        <v>616</v>
      </c>
      <c r="B35" s="21" t="s">
        <v>607</v>
      </c>
      <c r="C35" s="21" t="s">
        <v>286</v>
      </c>
      <c r="D35" s="22" t="n">
        <v>1.5</v>
      </c>
      <c r="E35" s="32" t="n">
        <f aca="false">IFERROR(VLOOKUP($C35,③配方汇总!$A:$K,8,FALSE()),0)</f>
        <v>195</v>
      </c>
      <c r="F35" s="32" t="n">
        <f aca="false">IFERROR(VLOOKUP($C35,③配方汇总!$A:$K,9,FALSE()),0)</f>
        <v>4.1</v>
      </c>
      <c r="G35" s="32" t="n">
        <f aca="false">IFERROR(VLOOKUP($C35,③配方汇总!$A:$K,10,FALSE()),0)</f>
        <v>42</v>
      </c>
      <c r="H35" s="32" t="n">
        <f aca="false">IFERROR(VLOOKUP($C35,③配方汇总!$A:$K,11,FALSE()),0)</f>
        <v>0.5</v>
      </c>
      <c r="I35" s="32" t="n">
        <f aca="false">ROUND($D35*E35,0)</f>
        <v>293</v>
      </c>
      <c r="J35" s="32" t="n">
        <f aca="false">ROUND($D35*F35,1)</f>
        <v>6.2</v>
      </c>
      <c r="K35" s="32" t="n">
        <f aca="false">ROUND($D35*G35,1)</f>
        <v>63</v>
      </c>
      <c r="L35" s="32" t="n">
        <f aca="false">ROUND($D35*H35,1)</f>
        <v>0.8</v>
      </c>
      <c r="M35" s="19" t="s">
        <v>618</v>
      </c>
    </row>
    <row r="36" customFormat="false" ht="15" hidden="false" customHeight="false" outlineLevel="0" collapsed="false">
      <c r="A36" s="16" t="s">
        <v>616</v>
      </c>
      <c r="B36" s="21" t="s">
        <v>607</v>
      </c>
      <c r="C36" s="21" t="s">
        <v>350</v>
      </c>
      <c r="D36" s="22" t="n">
        <v>0.33</v>
      </c>
      <c r="E36" s="32" t="n">
        <f aca="false">IFERROR(VLOOKUP($C36,③配方汇总!$A:$K,8,FALSE()),0)</f>
        <v>28</v>
      </c>
      <c r="F36" s="32" t="n">
        <f aca="false">IFERROR(VLOOKUP($C36,③配方汇总!$A:$K,9,FALSE()),0)</f>
        <v>2.8</v>
      </c>
      <c r="G36" s="32" t="n">
        <f aca="false">IFERROR(VLOOKUP($C36,③配方汇总!$A:$K,10,FALSE()),0)</f>
        <v>5.3</v>
      </c>
      <c r="H36" s="32" t="n">
        <f aca="false">IFERROR(VLOOKUP($C36,③配方汇总!$A:$K,11,FALSE()),0)</f>
        <v>0.4</v>
      </c>
      <c r="I36" s="32" t="n">
        <f aca="false">ROUND($D36*E36,0)</f>
        <v>9</v>
      </c>
      <c r="J36" s="32" t="n">
        <f aca="false">ROUND($D36*F36,1)</f>
        <v>0.9</v>
      </c>
      <c r="K36" s="32" t="n">
        <f aca="false">ROUND($D36*G36,1)</f>
        <v>1.7</v>
      </c>
      <c r="L36" s="32" t="n">
        <f aca="false">ROUND($D36*H36,1)</f>
        <v>0.1</v>
      </c>
      <c r="M36" s="19" t="s">
        <v>619</v>
      </c>
    </row>
    <row r="37" customFormat="false" ht="15" hidden="false" customHeight="false" outlineLevel="0" collapsed="false">
      <c r="A37" s="16" t="s">
        <v>616</v>
      </c>
      <c r="B37" s="21" t="s">
        <v>607</v>
      </c>
      <c r="C37" s="21" t="s">
        <v>232</v>
      </c>
      <c r="D37" s="22" t="n">
        <v>0.25</v>
      </c>
      <c r="E37" s="32" t="n">
        <f aca="false">IFERROR(VLOOKUP($C37,③配方汇总!$A:$K,8,FALSE()),0)</f>
        <v>97</v>
      </c>
      <c r="F37" s="32" t="n">
        <f aca="false">IFERROR(VLOOKUP($C37,③配方汇总!$A:$K,9,FALSE()),0)</f>
        <v>1.2</v>
      </c>
      <c r="G37" s="32" t="n">
        <f aca="false">IFERROR(VLOOKUP($C37,③配方汇总!$A:$K,10,FALSE()),0)</f>
        <v>23.8</v>
      </c>
      <c r="H37" s="32" t="n">
        <f aca="false">IFERROR(VLOOKUP($C37,③配方汇总!$A:$K,11,FALSE()),0)</f>
        <v>0.5</v>
      </c>
      <c r="I37" s="32" t="n">
        <f aca="false">ROUND($D37*E37,0)</f>
        <v>24</v>
      </c>
      <c r="J37" s="32" t="n">
        <f aca="false">ROUND($D37*F37,1)</f>
        <v>0.3</v>
      </c>
      <c r="K37" s="32" t="n">
        <f aca="false">ROUND($D37*G37,1)</f>
        <v>6</v>
      </c>
      <c r="L37" s="32" t="n">
        <f aca="false">ROUND($D37*H37,1)</f>
        <v>0.1</v>
      </c>
      <c r="M37" s="19" t="s">
        <v>620</v>
      </c>
    </row>
    <row r="38" customFormat="false" ht="15" hidden="false" customHeight="false" outlineLevel="0" collapsed="false">
      <c r="A38" s="16" t="s">
        <v>616</v>
      </c>
      <c r="B38" s="21" t="s">
        <v>607</v>
      </c>
      <c r="C38" s="21" t="s">
        <v>353</v>
      </c>
      <c r="D38" s="22" t="n">
        <v>0.25</v>
      </c>
      <c r="E38" s="32" t="n">
        <f aca="false">IFERROR(VLOOKUP($C38,③配方汇总!$A:$K,8,FALSE()),0)</f>
        <v>375</v>
      </c>
      <c r="F38" s="32" t="n">
        <f aca="false">IFERROR(VLOOKUP($C38,③配方汇总!$A:$K,9,FALSE()),0)</f>
        <v>15</v>
      </c>
      <c r="G38" s="32" t="n">
        <f aca="false">IFERROR(VLOOKUP($C38,③配方汇总!$A:$K,10,FALSE()),0)</f>
        <v>3.8</v>
      </c>
      <c r="H38" s="32" t="n">
        <f aca="false">IFERROR(VLOOKUP($C38,③配方汇总!$A:$K,11,FALSE()),0)</f>
        <v>33.8</v>
      </c>
      <c r="I38" s="32" t="n">
        <f aca="false">ROUND($D38*E38,0)</f>
        <v>94</v>
      </c>
      <c r="J38" s="32" t="n">
        <f aca="false">ROUND($D38*F38,1)</f>
        <v>3.8</v>
      </c>
      <c r="K38" s="32" t="n">
        <f aca="false">ROUND($D38*G38,1)</f>
        <v>1</v>
      </c>
      <c r="L38" s="32" t="n">
        <f aca="false">ROUND($D38*H38,1)</f>
        <v>8.5</v>
      </c>
      <c r="M38" s="19" t="s">
        <v>621</v>
      </c>
    </row>
    <row r="39" customFormat="false" ht="15" hidden="false" customHeight="false" outlineLevel="0" collapsed="false">
      <c r="A39" s="16" t="s">
        <v>616</v>
      </c>
      <c r="B39" s="21" t="s">
        <v>607</v>
      </c>
      <c r="C39" s="21" t="s">
        <v>234</v>
      </c>
      <c r="D39" s="22" t="n">
        <v>1</v>
      </c>
      <c r="E39" s="32" t="n">
        <f aca="false">IFERROR(VLOOKUP($C39,③配方汇总!$A:$K,8,FALSE()),0)</f>
        <v>59</v>
      </c>
      <c r="F39" s="32" t="n">
        <f aca="false">IFERROR(VLOOKUP($C39,③配方汇总!$A:$K,9,FALSE()),0)</f>
        <v>1.4</v>
      </c>
      <c r="G39" s="32" t="n">
        <f aca="false">IFERROR(VLOOKUP($C39,③配方汇总!$A:$K,10,FALSE()),0)</f>
        <v>15</v>
      </c>
      <c r="H39" s="32" t="n">
        <f aca="false">IFERROR(VLOOKUP($C39,③配方汇总!$A:$K,11,FALSE()),0)</f>
        <v>0.5</v>
      </c>
      <c r="I39" s="32" t="n">
        <f aca="false">ROUND($D39*E39,0)</f>
        <v>59</v>
      </c>
      <c r="J39" s="32" t="n">
        <f aca="false">ROUND($D39*F39,1)</f>
        <v>1.4</v>
      </c>
      <c r="K39" s="32" t="n">
        <f aca="false">ROUND($D39*G39,1)</f>
        <v>15</v>
      </c>
      <c r="L39" s="32" t="n">
        <f aca="false">ROUND($D39*H39,1)</f>
        <v>0.5</v>
      </c>
      <c r="M39" s="19" t="s">
        <v>311</v>
      </c>
    </row>
    <row r="40" customFormat="false" ht="15" hidden="false" customHeight="false" outlineLevel="0" collapsed="false">
      <c r="A40" s="16" t="s">
        <v>616</v>
      </c>
      <c r="B40" s="21" t="s">
        <v>403</v>
      </c>
      <c r="C40" s="21" t="s">
        <v>353</v>
      </c>
      <c r="D40" s="22" t="n">
        <v>0.25</v>
      </c>
      <c r="E40" s="32" t="n">
        <f aca="false">IFERROR(VLOOKUP($C40,③配方汇总!$A:$K,8,FALSE()),0)</f>
        <v>375</v>
      </c>
      <c r="F40" s="32" t="n">
        <f aca="false">IFERROR(VLOOKUP($C40,③配方汇总!$A:$K,9,FALSE()),0)</f>
        <v>15</v>
      </c>
      <c r="G40" s="32" t="n">
        <f aca="false">IFERROR(VLOOKUP($C40,③配方汇总!$A:$K,10,FALSE()),0)</f>
        <v>3.8</v>
      </c>
      <c r="H40" s="32" t="n">
        <f aca="false">IFERROR(VLOOKUP($C40,③配方汇总!$A:$K,11,FALSE()),0)</f>
        <v>33.8</v>
      </c>
      <c r="I40" s="32" t="n">
        <f aca="false">ROUND($D40*E40,0)</f>
        <v>94</v>
      </c>
      <c r="J40" s="32" t="n">
        <f aca="false">ROUND($D40*F40,1)</f>
        <v>3.8</v>
      </c>
      <c r="K40" s="32" t="n">
        <f aca="false">ROUND($D40*G40,1)</f>
        <v>1</v>
      </c>
      <c r="L40" s="32" t="n">
        <f aca="false">ROUND($D40*H40,1)</f>
        <v>8.5</v>
      </c>
      <c r="M40" s="19" t="s">
        <v>621</v>
      </c>
    </row>
    <row r="41" customFormat="false" ht="15" hidden="false" customHeight="false" outlineLevel="0" collapsed="false">
      <c r="A41" s="16" t="s">
        <v>616</v>
      </c>
      <c r="B41" s="21" t="s">
        <v>403</v>
      </c>
      <c r="C41" s="21" t="s">
        <v>232</v>
      </c>
      <c r="D41" s="22" t="n">
        <v>0.25</v>
      </c>
      <c r="E41" s="32" t="n">
        <f aca="false">IFERROR(VLOOKUP($C41,③配方汇总!$A:$K,8,FALSE()),0)</f>
        <v>97</v>
      </c>
      <c r="F41" s="32" t="n">
        <f aca="false">IFERROR(VLOOKUP($C41,③配方汇总!$A:$K,9,FALSE()),0)</f>
        <v>1.2</v>
      </c>
      <c r="G41" s="32" t="n">
        <f aca="false">IFERROR(VLOOKUP($C41,③配方汇总!$A:$K,10,FALSE()),0)</f>
        <v>23.8</v>
      </c>
      <c r="H41" s="32" t="n">
        <f aca="false">IFERROR(VLOOKUP($C41,③配方汇总!$A:$K,11,FALSE()),0)</f>
        <v>0.5</v>
      </c>
      <c r="I41" s="32" t="n">
        <f aca="false">ROUND($D41*E41,0)</f>
        <v>24</v>
      </c>
      <c r="J41" s="32" t="n">
        <f aca="false">ROUND($D41*F41,1)</f>
        <v>0.3</v>
      </c>
      <c r="K41" s="32" t="n">
        <f aca="false">ROUND($D41*G41,1)</f>
        <v>6</v>
      </c>
      <c r="L41" s="32" t="n">
        <f aca="false">ROUND($D41*H41,1)</f>
        <v>0.1</v>
      </c>
      <c r="M41" s="19" t="s">
        <v>620</v>
      </c>
    </row>
    <row r="42" customFormat="false" ht="15" hidden="false" customHeight="false" outlineLevel="0" collapsed="false">
      <c r="A42" s="16" t="s">
        <v>616</v>
      </c>
      <c r="B42" s="21" t="s">
        <v>407</v>
      </c>
      <c r="C42" s="21" t="s">
        <v>234</v>
      </c>
      <c r="D42" s="22" t="n">
        <v>1</v>
      </c>
      <c r="E42" s="32" t="n">
        <f aca="false">IFERROR(VLOOKUP($C42,③配方汇总!$A:$K,8,FALSE()),0)</f>
        <v>59</v>
      </c>
      <c r="F42" s="32" t="n">
        <f aca="false">IFERROR(VLOOKUP($C42,③配方汇总!$A:$K,9,FALSE()),0)</f>
        <v>1.4</v>
      </c>
      <c r="G42" s="32" t="n">
        <f aca="false">IFERROR(VLOOKUP($C42,③配方汇总!$A:$K,10,FALSE()),0)</f>
        <v>15</v>
      </c>
      <c r="H42" s="32" t="n">
        <f aca="false">IFERROR(VLOOKUP($C42,③配方汇总!$A:$K,11,FALSE()),0)</f>
        <v>0.5</v>
      </c>
      <c r="I42" s="32" t="n">
        <f aca="false">ROUND($D42*E42,0)</f>
        <v>59</v>
      </c>
      <c r="J42" s="32" t="n">
        <f aca="false">ROUND($D42*F42,1)</f>
        <v>1.4</v>
      </c>
      <c r="K42" s="32" t="n">
        <f aca="false">ROUND($D42*G42,1)</f>
        <v>15</v>
      </c>
      <c r="L42" s="32" t="n">
        <f aca="false">ROUND($D42*H42,1)</f>
        <v>0.5</v>
      </c>
      <c r="M42" s="19" t="s">
        <v>311</v>
      </c>
    </row>
    <row r="43" customFormat="false" ht="15" hidden="false" customHeight="false" outlineLevel="0" collapsed="false">
      <c r="A43" s="16" t="s">
        <v>616</v>
      </c>
      <c r="B43" s="21" t="s">
        <v>407</v>
      </c>
      <c r="C43" s="21" t="s">
        <v>239</v>
      </c>
      <c r="D43" s="22" t="n">
        <v>1</v>
      </c>
      <c r="E43" s="32" t="n">
        <f aca="false">IFERROR(VLOOKUP($C43,③配方汇总!$A:$K,8,FALSE()),0)</f>
        <v>400</v>
      </c>
      <c r="F43" s="32" t="n">
        <f aca="false">IFERROR(VLOOKUP($C43,③配方汇总!$A:$K,9,FALSE()),0)</f>
        <v>5</v>
      </c>
      <c r="G43" s="32" t="n">
        <f aca="false">IFERROR(VLOOKUP($C43,③配方汇总!$A:$K,10,FALSE()),0)</f>
        <v>50</v>
      </c>
      <c r="H43" s="32" t="n">
        <f aca="false">IFERROR(VLOOKUP($C43,③配方汇总!$A:$K,11,FALSE()),0)</f>
        <v>20</v>
      </c>
      <c r="I43" s="32" t="n">
        <f aca="false">ROUND($D43*E43,0)</f>
        <v>400</v>
      </c>
      <c r="J43" s="32" t="n">
        <f aca="false">ROUND($D43*F43,1)</f>
        <v>5</v>
      </c>
      <c r="K43" s="32" t="n">
        <f aca="false">ROUND($D43*G43,1)</f>
        <v>50</v>
      </c>
      <c r="L43" s="32" t="n">
        <f aca="false">ROUND($D43*H43,1)</f>
        <v>20</v>
      </c>
      <c r="M43" s="22" t="s">
        <v>622</v>
      </c>
    </row>
    <row r="44" customFormat="false" ht="15" hidden="false" customHeight="false" outlineLevel="0" collapsed="false">
      <c r="C44" s="20" t="s">
        <v>623</v>
      </c>
      <c r="I44" s="55" t="n">
        <f aca="false">SUMIF($A34:$A43,"6/28",I34:I43)</f>
        <v>1804</v>
      </c>
      <c r="J44" s="55" t="n">
        <f aca="false">ROUND(SUMIF($A34:$A43,"6/28",J34:J43),1)</f>
        <v>60.8</v>
      </c>
      <c r="K44" s="55" t="n">
        <f aca="false">ROUND(SUMIF($A34:$A43,"6/28",K34:K43),1)</f>
        <v>211.8</v>
      </c>
      <c r="L44" s="55" t="n">
        <f aca="false">ROUND(SUMIF($A34:$A43,"6/28",L34:L43),1)</f>
        <v>83.5</v>
      </c>
    </row>
    <row r="45" customFormat="false" ht="15" hidden="false" customHeight="false" outlineLevel="0" collapsed="false">
      <c r="C45" s="21" t="s">
        <v>597</v>
      </c>
      <c r="I45" s="19" t="s">
        <v>598</v>
      </c>
      <c r="J45" s="22" t="n">
        <v>110</v>
      </c>
      <c r="M45" s="21" t="s">
        <v>624</v>
      </c>
    </row>
  </sheetData>
  <dataValidations count="5">
    <dataValidation allowBlank="true" errorStyle="stop" operator="between" showDropDown="false" showErrorMessage="false" showInputMessage="false" sqref="C4:C16" type="list">
      <formula1>③配方汇总!$A$4:$A$43</formula1>
      <formula2>0</formula2>
    </dataValidation>
    <dataValidation allowBlank="true" errorStyle="stop" operator="between" showDropDown="false" showErrorMessage="false" showInputMessage="false" sqref="C17:C22" type="list">
      <formula1>③配方汇总!$A$4:$A$48</formula1>
      <formula2>0</formula2>
    </dataValidation>
    <dataValidation allowBlank="true" errorStyle="stop" operator="between" showDropDown="false" showErrorMessage="false" showInputMessage="false" sqref="C23:C27" type="list">
      <formula1>③配方汇总!$A$4:$A$50</formula1>
      <formula2>0</formula2>
    </dataValidation>
    <dataValidation allowBlank="true" errorStyle="stop" operator="between" showDropDown="false" showErrorMessage="false" showInputMessage="false" sqref="C28:C33" type="list">
      <formula1>③配方汇总!$A$4:$A$53</formula1>
      <formula2>0</formula2>
    </dataValidation>
    <dataValidation allowBlank="true" errorStyle="stop" operator="between" showDropDown="false" showErrorMessage="false" showInputMessage="false" sqref="C34:C75" type="list">
      <formula1>③配方汇总!$A$4:$A$59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2026-06-25T02:48:18Z</dcterms:created>
  <dc:creator>openpyxl</dc:creator>
  <dc:description/>
  <dc:language>en-US</dc:language>
  <cp:lastModifiedBy>guo liang</cp:lastModifiedBy>
  <dcterms:modified xsi:type="dcterms:W3CDTF">2026-06-29T00:44:27Z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